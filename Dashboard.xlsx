
<file path=[Content_Types].xml><?xml version="1.0" encoding="utf-8"?>
<Types xmlns="http://schemas.openxmlformats.org/package/2006/content-types">
  <Default Extension="bin" ContentType="application/vnd.ms-office.activeX"/>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activeX/activeX3.xml" ContentType="application/vnd.ms-office.activeX+xml"/>
  <Override PartName="/xl/activeX/activeX4.xml" ContentType="application/vnd.ms-office.activeX+xml"/>
  <Override PartName="/xl/activeX/activeX5.xml" ContentType="application/vnd.ms-office.activeX+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rinterSettings/printerSettings1.bin" ContentType="application/vnd.openxmlformats-officedocument.spreadsheetml.printerSettings"/>
  <Override PartName="/xl/drawings/drawing3.xml" ContentType="application/vnd.openxmlformats-officedocument.drawing+xml"/>
  <Override PartName="/xl/activeX/activeX6.xml" ContentType="application/vnd.ms-office.activeX+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C:\'User File Error'\Root\Projects\CodeRadar\"/>
    </mc:Choice>
  </mc:AlternateContent>
  <xr:revisionPtr revIDLastSave="0" documentId="13_ncr:1_{B41DA627-DCA6-4087-B75E-98AC034514DD}" xr6:coauthVersionLast="47" xr6:coauthVersionMax="47" xr10:uidLastSave="{00000000-0000-0000-0000-000000000000}"/>
  <bookViews>
    <workbookView xWindow="-108" yWindow="-108" windowWidth="23256" windowHeight="14616" activeTab="2" xr2:uid="{DD415204-D2F0-4184-AD6C-5C1B569785C1}"/>
  </bookViews>
  <sheets>
    <sheet name="StudentData" sheetId="1" r:id="rId1"/>
    <sheet name="Pivot Table" sheetId="3" r:id="rId2"/>
    <sheet name="Dashboard" sheetId="2" r:id="rId3"/>
  </sheets>
  <definedNames>
    <definedName name="_xlcn.WorksheetConnection_cleaned_data.xlsxStudentData1" hidden="1">StudentData[]</definedName>
    <definedName name="Slicer_Branch">#N/A</definedName>
    <definedName name="Slicer_College">#N/A</definedName>
  </definedNames>
  <calcPr calcId="191028"/>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Data" name="StudentData" connection="WorksheetConnection_cleaned_data.xlsx!Student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1" l="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AT18" i="3" a="1"/>
  <c r="AN18" i="3" a="1"/>
  <c r="X16" i="3"/>
  <c r="X15" i="3"/>
  <c r="X14" i="3"/>
  <c r="X13" i="3"/>
  <c r="X12" i="3"/>
  <c r="AE5" i="3" a="1"/>
  <c r="AD5" i="3" a="1"/>
  <c r="AC5" i="3" a="1"/>
  <c r="AB5" i="3" a="1"/>
  <c r="L674" i="1"/>
  <c r="X20" i="3"/>
  <c r="X19" i="3"/>
  <c r="V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CAAFA8-107E-4EB0-AA29-BC42F43DB6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4C76C87-7C61-47E0-B655-AB5C5E9ED4FB}" name="WorksheetConnection_cleaned_data.xlsx!StudentData" type="102" refreshedVersion="8" minRefreshableVersion="5">
    <extLst>
      <ext xmlns:x15="http://schemas.microsoft.com/office/spreadsheetml/2010/11/main" uri="{DE250136-89BD-433C-8126-D09CA5730AF9}">
        <x15:connection id="StudentData" autoDelete="1">
          <x15:rangePr sourceName="_xlcn.WorksheetConnection_cleaned_data.xlsxStudent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<sst xmlns="http://schemas.openxmlformats.org/spreadsheetml/2006/main" count="4910" uniqueCount="787">
  <si>
    <t>Student ID</t>
  </si>
  <si>
    <t>College</t>
  </si>
  <si>
    <t>Branch</t>
  </si>
  <si>
    <t>C Language</t>
  </si>
  <si>
    <t>Cpp</t>
  </si>
  <si>
    <t>Java</t>
  </si>
  <si>
    <t>Python</t>
  </si>
  <si>
    <t>Sql</t>
  </si>
  <si>
    <t>Badges Count</t>
  </si>
  <si>
    <t>Certificate Count</t>
  </si>
  <si>
    <t>Certifications</t>
  </si>
  <si>
    <t>LC Program Count</t>
  </si>
  <si>
    <t>LC Rank</t>
  </si>
  <si>
    <t>GFG Count</t>
  </si>
  <si>
    <t>GFG Overall Coding Score</t>
  </si>
  <si>
    <t>CC Problem Count</t>
  </si>
  <si>
    <t>email</t>
  </si>
  <si>
    <t>23A91A0401</t>
  </si>
  <si>
    <t>ACET</t>
  </si>
  <si>
    <t>ECE</t>
  </si>
  <si>
    <t>Null</t>
  </si>
  <si>
    <t>23A91A0408</t>
  </si>
  <si>
    <t>23A91A0416</t>
  </si>
  <si>
    <t>23A91A0417</t>
  </si>
  <si>
    <t>23A91A0423</t>
  </si>
  <si>
    <t>23A91A0424</t>
  </si>
  <si>
    <t>23A91A0426</t>
  </si>
  <si>
    <t>23A91A0429</t>
  </si>
  <si>
    <t>23A91A0461</t>
  </si>
  <si>
    <t>23A91A0431</t>
  </si>
  <si>
    <t>23A91A0436</t>
  </si>
  <si>
    <t>23A91A0452</t>
  </si>
  <si>
    <t>23A91A0457</t>
  </si>
  <si>
    <t>23A91A0459</t>
  </si>
  <si>
    <t>23A91A0460</t>
  </si>
  <si>
    <t>23A91A0462</t>
  </si>
  <si>
    <t>CSE</t>
  </si>
  <si>
    <t>23A91A0465</t>
  </si>
  <si>
    <t>23A91A0470</t>
  </si>
  <si>
    <t>23A91A0471</t>
  </si>
  <si>
    <t>23A91A0476</t>
  </si>
  <si>
    <t>23A91A0483</t>
  </si>
  <si>
    <t>23A91A0485</t>
  </si>
  <si>
    <t>23A91A0486</t>
  </si>
  <si>
    <t>23A91A0489</t>
  </si>
  <si>
    <t>rollnum</t>
  </si>
  <si>
    <t>23A91A0492</t>
  </si>
  <si>
    <t>Leet Code</t>
  </si>
  <si>
    <t>23A91A04A0</t>
  </si>
  <si>
    <t>CodeChef</t>
  </si>
  <si>
    <t>23A91A04A3</t>
  </si>
  <si>
    <t>GFG</t>
  </si>
  <si>
    <t>23A91A04D6</t>
  </si>
  <si>
    <t>23A91A04D7</t>
  </si>
  <si>
    <t>23A91A04F0</t>
  </si>
  <si>
    <t>23A91A04G1</t>
  </si>
  <si>
    <t>23A91A04H2</t>
  </si>
  <si>
    <t>23A91A04I1</t>
  </si>
  <si>
    <t>23A91A04I6</t>
  </si>
  <si>
    <t>23A91A04J9</t>
  </si>
  <si>
    <t>23A91A04M1</t>
  </si>
  <si>
    <t>23A91A04N3</t>
  </si>
  <si>
    <t>23A91A04O3</t>
  </si>
  <si>
    <t>23A91A04P5</t>
  </si>
  <si>
    <t>23A91A0501</t>
  </si>
  <si>
    <t>SQL (Basic),Java (Basic),SQL (Intermediate)</t>
  </si>
  <si>
    <t>23A91A0502</t>
  </si>
  <si>
    <t>SQL (Basic),SQL (Intermediate)</t>
  </si>
  <si>
    <t>23A91A0504</t>
  </si>
  <si>
    <t>SQL (Intermediate),SQL (Basic)</t>
  </si>
  <si>
    <t>23A91A0506</t>
  </si>
  <si>
    <t>SQL (Basic)</t>
  </si>
  <si>
    <t>23A91A0507</t>
  </si>
  <si>
    <t>23A91A0509</t>
  </si>
  <si>
    <t>23A91A0510</t>
  </si>
  <si>
    <t>23A91A0512</t>
  </si>
  <si>
    <t>SQL (Basic),JavaScript (Basic),CSS (Basic)</t>
  </si>
  <si>
    <t>23A91A0515</t>
  </si>
  <si>
    <t>23A91A0517</t>
  </si>
  <si>
    <t>23A91A0519</t>
  </si>
  <si>
    <t>23A91A0522</t>
  </si>
  <si>
    <t>SQL (Basic),Python (Basic),SQL (Intermediate)</t>
  </si>
  <si>
    <t>23A91A0524</t>
  </si>
  <si>
    <t>23A91A0525</t>
  </si>
  <si>
    <t>23A91A0526</t>
  </si>
  <si>
    <t>23A91A0529</t>
  </si>
  <si>
    <t>23A91A0532</t>
  </si>
  <si>
    <t>SQL (Basic),CSS (Basic),JavaScript (Basic)</t>
  </si>
  <si>
    <t>23A91A0534</t>
  </si>
  <si>
    <t>23A91A0536</t>
  </si>
  <si>
    <t>SQL (Intermediate)</t>
  </si>
  <si>
    <t>23A91A0539</t>
  </si>
  <si>
    <t>23A91A0545</t>
  </si>
  <si>
    <t>23A91A0546</t>
  </si>
  <si>
    <t>23A91A0549</t>
  </si>
  <si>
    <t>23A91A0554</t>
  </si>
  <si>
    <t>23A91A0556</t>
  </si>
  <si>
    <t>23A91A0559</t>
  </si>
  <si>
    <t>SQL (Intermediate),SQL (Basic),Python (Basic)</t>
  </si>
  <si>
    <t>23A91A0560</t>
  </si>
  <si>
    <t>SQL (Basic),SQL (Intermediate),SQL (Advanced)</t>
  </si>
  <si>
    <t>23A91A0561</t>
  </si>
  <si>
    <t>23A91A0562</t>
  </si>
  <si>
    <t>SQL (Basic),Python (Basic),SQL (Intermediate),Java (Basic)</t>
  </si>
  <si>
    <t>23A91A0565</t>
  </si>
  <si>
    <t>23A91A0566</t>
  </si>
  <si>
    <t>SQL (Basic),Python (Basic)</t>
  </si>
  <si>
    <t>23A91A0572</t>
  </si>
  <si>
    <t>CSS (Basic),C# (Basic),SQL (Basic),JavaScript (Basic)</t>
  </si>
  <si>
    <t>23A91A0576</t>
  </si>
  <si>
    <t>23A91A0577</t>
  </si>
  <si>
    <t>23A91A0578</t>
  </si>
  <si>
    <t>23A91A0579</t>
  </si>
  <si>
    <t>23A91A0581</t>
  </si>
  <si>
    <t>23A91A0582</t>
  </si>
  <si>
    <t>23A91A0585</t>
  </si>
  <si>
    <t>Java (Basic),SQL (Basic),SQL (Intermediate)</t>
  </si>
  <si>
    <t>23A91A0594</t>
  </si>
  <si>
    <t>SQL (Basic),Problem Solving (Basic),SQL (Intermediate)</t>
  </si>
  <si>
    <t>23A91A0595</t>
  </si>
  <si>
    <t>Python (Basic),SQL (Basic),SQL (Intermediate)</t>
  </si>
  <si>
    <t>23A91A0598</t>
  </si>
  <si>
    <t>23A91A05A5</t>
  </si>
  <si>
    <t>23A91A05A7</t>
  </si>
  <si>
    <t>SQL (Basic),SQL (Intermediate),Python (Basic)</t>
  </si>
  <si>
    <t>23A91A05B1</t>
  </si>
  <si>
    <t>23A91A05B2</t>
  </si>
  <si>
    <t>23A91A05B6</t>
  </si>
  <si>
    <t>23A91A05C0</t>
  </si>
  <si>
    <t>23A91A05C4</t>
  </si>
  <si>
    <t>23A91A05C5</t>
  </si>
  <si>
    <t>Problem Solving (Basic),Java (Basic),SQL (Basic),SQL (Intermediate)</t>
  </si>
  <si>
    <t>23A91A05D6</t>
  </si>
  <si>
    <t>IT</t>
  </si>
  <si>
    <t>23A91A05D7</t>
  </si>
  <si>
    <t>23A91A05E1</t>
  </si>
  <si>
    <t>23A91A05E4</t>
  </si>
  <si>
    <t>23A91A05E5</t>
  </si>
  <si>
    <t>23A91A05E6</t>
  </si>
  <si>
    <t>23A91A05F3</t>
  </si>
  <si>
    <t>Problem Solving (Basic),SQL (Basic)</t>
  </si>
  <si>
    <t>23A91A05F4</t>
  </si>
  <si>
    <t>23A91A05F5</t>
  </si>
  <si>
    <t>AI&amp;ML</t>
  </si>
  <si>
    <t>23A91A05F8</t>
  </si>
  <si>
    <t>SQL (Basic),SQL (Intermediate),Problem Solving (Basic)</t>
  </si>
  <si>
    <t>23A91A05G3</t>
  </si>
  <si>
    <t>23A91A05G5</t>
  </si>
  <si>
    <t>23A91A05G7</t>
  </si>
  <si>
    <t>23A91A05G8</t>
  </si>
  <si>
    <t>SQL (Basic),SQL (Intermediate),SQL (Advanced),Problem Solving (Basic)</t>
  </si>
  <si>
    <t>23A91A05G9</t>
  </si>
  <si>
    <t>23A91A05H2</t>
  </si>
  <si>
    <t>23A91A05H8</t>
  </si>
  <si>
    <t>23A91A05I0</t>
  </si>
  <si>
    <t>23A91A05I3</t>
  </si>
  <si>
    <t>23A91A05I4</t>
  </si>
  <si>
    <t>23A91A05I6</t>
  </si>
  <si>
    <t>23A91A05I8</t>
  </si>
  <si>
    <t>23A91A05J1</t>
  </si>
  <si>
    <t>23A91A05J2</t>
  </si>
  <si>
    <t>23A91A05J8</t>
  </si>
  <si>
    <t>23A91A05J9</t>
  </si>
  <si>
    <t>23A91A05K1</t>
  </si>
  <si>
    <t>23A91A05K2</t>
  </si>
  <si>
    <t>23A91A1205</t>
  </si>
  <si>
    <t>23A91A1209</t>
  </si>
  <si>
    <t>23A91A1211</t>
  </si>
  <si>
    <t>23A91A1214</t>
  </si>
  <si>
    <t>23A91A1216</t>
  </si>
  <si>
    <t>23A91A1220</t>
  </si>
  <si>
    <t>23A91A1225</t>
  </si>
  <si>
    <t>23A91A1226</t>
  </si>
  <si>
    <t>23A91A1228</t>
  </si>
  <si>
    <t>23A91A1229</t>
  </si>
  <si>
    <t>23A91A1231</t>
  </si>
  <si>
    <t>23A91A1234</t>
  </si>
  <si>
    <t>23A91A1235</t>
  </si>
  <si>
    <t>23A91A1237</t>
  </si>
  <si>
    <t>23A91A1239</t>
  </si>
  <si>
    <t>23A91A1252</t>
  </si>
  <si>
    <t>23A91A1253</t>
  </si>
  <si>
    <t>23A91A1258</t>
  </si>
  <si>
    <t>23A91A1267</t>
  </si>
  <si>
    <t>23A91A1268</t>
  </si>
  <si>
    <t>23A91A1269</t>
  </si>
  <si>
    <t>23A91A1292</t>
  </si>
  <si>
    <t>23A91A1293</t>
  </si>
  <si>
    <t>23A91A1294</t>
  </si>
  <si>
    <t>DS</t>
  </si>
  <si>
    <t>SQL (Intermediate),SQL (Basic),Problem Solving (Intermediate)</t>
  </si>
  <si>
    <t>23A91A1295</t>
  </si>
  <si>
    <t>23A91A12A6</t>
  </si>
  <si>
    <t>23A91A12A9</t>
  </si>
  <si>
    <t>23A91A12C1</t>
  </si>
  <si>
    <t>23A91A12C4</t>
  </si>
  <si>
    <t>23A91A12C5</t>
  </si>
  <si>
    <t>23A91A4402</t>
  </si>
  <si>
    <t>23A91A4403</t>
  </si>
  <si>
    <t>23A91A4409</t>
  </si>
  <si>
    <t>23A91A4410</t>
  </si>
  <si>
    <t>C# (Basic)</t>
  </si>
  <si>
    <t>23A91A4429</t>
  </si>
  <si>
    <t>23A91A4440</t>
  </si>
  <si>
    <t>23A91A4445</t>
  </si>
  <si>
    <t>23A91A4454</t>
  </si>
  <si>
    <t>23A91A4459</t>
  </si>
  <si>
    <t>23A91A4465</t>
  </si>
  <si>
    <t>23A91A6105</t>
  </si>
  <si>
    <t>23A91A6108</t>
  </si>
  <si>
    <t>23A91A6112</t>
  </si>
  <si>
    <t>23A91A6113</t>
  </si>
  <si>
    <t>23A91A6116</t>
  </si>
  <si>
    <t>23A91A6119</t>
  </si>
  <si>
    <t>23A91A6124</t>
  </si>
  <si>
    <t>23A91A6127</t>
  </si>
  <si>
    <t>23A91A6136</t>
  </si>
  <si>
    <t>Java (Basic),SQL (Intermediate)</t>
  </si>
  <si>
    <t>23A91A6142</t>
  </si>
  <si>
    <t>23A91A6144</t>
  </si>
  <si>
    <t>ACOE</t>
  </si>
  <si>
    <t>23A91A6149</t>
  </si>
  <si>
    <t>23A91A6151</t>
  </si>
  <si>
    <t>23A91A6152</t>
  </si>
  <si>
    <t>23A91A6153</t>
  </si>
  <si>
    <t>23A91A6159</t>
  </si>
  <si>
    <t>23A91A6166</t>
  </si>
  <si>
    <t>23A91A6168</t>
  </si>
  <si>
    <t>23A91A6169</t>
  </si>
  <si>
    <t>23A91A6171</t>
  </si>
  <si>
    <t>23A91A6172</t>
  </si>
  <si>
    <t>23A91A6181</t>
  </si>
  <si>
    <t>23A91A6188</t>
  </si>
  <si>
    <t>SQL (Basic),Python (Basic),Problem Solving (Basic)</t>
  </si>
  <si>
    <t>23A91A6191</t>
  </si>
  <si>
    <t>23A91A61A0</t>
  </si>
  <si>
    <t>23A91A61A2</t>
  </si>
  <si>
    <t>23A91A61A9</t>
  </si>
  <si>
    <t>23A91A61B3</t>
  </si>
  <si>
    <t>23A91A61B4</t>
  </si>
  <si>
    <t>23A91A61B7</t>
  </si>
  <si>
    <t>23A91A61C0</t>
  </si>
  <si>
    <t>23A91A61C2</t>
  </si>
  <si>
    <t>23A91A61C5</t>
  </si>
  <si>
    <t>23A91A61C7</t>
  </si>
  <si>
    <t>23A91A61C8</t>
  </si>
  <si>
    <t>23A91A61D8</t>
  </si>
  <si>
    <t>Python (Basic)</t>
  </si>
  <si>
    <t>23A91A61E2</t>
  </si>
  <si>
    <t>23A91A61E4</t>
  </si>
  <si>
    <t>23A91A61E9</t>
  </si>
  <si>
    <t>23A91A61F2</t>
  </si>
  <si>
    <t>23A91A61F7</t>
  </si>
  <si>
    <t>23A91A61G7</t>
  </si>
  <si>
    <t>Java (Basic),SQL (Basic),JavaScript (Basic)</t>
  </si>
  <si>
    <t>23A91A61G9</t>
  </si>
  <si>
    <t>23A91A61H5</t>
  </si>
  <si>
    <t>23A91A61I6</t>
  </si>
  <si>
    <t>23A91A61J3</t>
  </si>
  <si>
    <t>23A91A61J5</t>
  </si>
  <si>
    <t>23A91A61J6</t>
  </si>
  <si>
    <t>23MH1A0408</t>
  </si>
  <si>
    <t>23MH1A0412</t>
  </si>
  <si>
    <t>23MH1A0422</t>
  </si>
  <si>
    <t>23MH1A0424</t>
  </si>
  <si>
    <t>23MH1A0428</t>
  </si>
  <si>
    <t>23MH1A0433</t>
  </si>
  <si>
    <t>23MH1A0435</t>
  </si>
  <si>
    <t>23MH1A0456</t>
  </si>
  <si>
    <t>23MH1A0462</t>
  </si>
  <si>
    <t>23MH1A0465</t>
  </si>
  <si>
    <t>23MH1A0476</t>
  </si>
  <si>
    <t>23MH1A0484</t>
  </si>
  <si>
    <t>23MH1A04A0</t>
  </si>
  <si>
    <t>23MH1A04G2</t>
  </si>
  <si>
    <t>23MH1A04H9</t>
  </si>
  <si>
    <t>23MH1A0510</t>
  </si>
  <si>
    <t>23MH1A0524</t>
  </si>
  <si>
    <t>23MH1A0525</t>
  </si>
  <si>
    <t>23MH1A0549</t>
  </si>
  <si>
    <t>23MH1A0553</t>
  </si>
  <si>
    <t>23MH1A0571</t>
  </si>
  <si>
    <t>23MH1A0585</t>
  </si>
  <si>
    <t>23MH1A0595</t>
  </si>
  <si>
    <t>Python (Basic),Problem Solving (Basic),SQL (Basic),SQL (Intermediate),Java (Basic),SQL (Advanced)</t>
  </si>
  <si>
    <t>23MH1A0599</t>
  </si>
  <si>
    <t>23MH1A05C0</t>
  </si>
  <si>
    <t>Python (Basic),CSS (Basic)</t>
  </si>
  <si>
    <t>23MH1A05D8</t>
  </si>
  <si>
    <t>Java (Basic)</t>
  </si>
  <si>
    <t>23MH1A05E6</t>
  </si>
  <si>
    <t>23MH1A05E7</t>
  </si>
  <si>
    <t>SQL (Basic),SQL (Intermediate),Java (Basic),CSS (Basic)</t>
  </si>
  <si>
    <t>23MH1A05E9</t>
  </si>
  <si>
    <t>23MH1A05F2</t>
  </si>
  <si>
    <t>23MH1A05F4</t>
  </si>
  <si>
    <t>23MH1A05F5</t>
  </si>
  <si>
    <t>23MH1A05F7</t>
  </si>
  <si>
    <t>23MH1A05F9</t>
  </si>
  <si>
    <t>23MH1A05G0</t>
  </si>
  <si>
    <t>23MH1A05G2</t>
  </si>
  <si>
    <t>23MH1A05G4</t>
  </si>
  <si>
    <t>23MH1A05G5</t>
  </si>
  <si>
    <t>23MH1A05G7</t>
  </si>
  <si>
    <t>23MH1A05H0</t>
  </si>
  <si>
    <t>23MH1A05H2</t>
  </si>
  <si>
    <t>23MH1A05H3</t>
  </si>
  <si>
    <t>23MH1A05H5</t>
  </si>
  <si>
    <t>23MH1A05H7</t>
  </si>
  <si>
    <t>23MH1A05H8</t>
  </si>
  <si>
    <t>23MH1A05I2</t>
  </si>
  <si>
    <t>23MH1A05I3</t>
  </si>
  <si>
    <t>23MH1A05I5</t>
  </si>
  <si>
    <t>23MH1A05I6</t>
  </si>
  <si>
    <t>23MH1A05I7</t>
  </si>
  <si>
    <t>23MH1A05I9</t>
  </si>
  <si>
    <t>23MH1A05J2</t>
  </si>
  <si>
    <t>23MH1A05J4</t>
  </si>
  <si>
    <t>23MH1A05J5</t>
  </si>
  <si>
    <t>23MH1A05J9</t>
  </si>
  <si>
    <t>23MH1A05K1</t>
  </si>
  <si>
    <t>23MH1A05K2</t>
  </si>
  <si>
    <t>23MH1A05K4</t>
  </si>
  <si>
    <t>23MH1A05K5</t>
  </si>
  <si>
    <t>23MH1A05K7</t>
  </si>
  <si>
    <t>23MH1A05L1</t>
  </si>
  <si>
    <t>SQL (Basic),Java (Basic),SQL (Intermediate),Python (Basic),SQL (Advanced),Problem Solving (Basic),Problem Solving (Intermediate)</t>
  </si>
  <si>
    <t>23MH1A05L2</t>
  </si>
  <si>
    <t>23MH1A05L3</t>
  </si>
  <si>
    <t>23MH1A05L4</t>
  </si>
  <si>
    <t>23MH1A05L8</t>
  </si>
  <si>
    <t>23MH1A05L9</t>
  </si>
  <si>
    <t>C# (Basic),Python (Basic)</t>
  </si>
  <si>
    <t>23MH1A05M0</t>
  </si>
  <si>
    <t>SQL (Basic),SQL (Intermediate),Java (Basic)</t>
  </si>
  <si>
    <t>23MH1A05M1</t>
  </si>
  <si>
    <t>23MH1A05M4</t>
  </si>
  <si>
    <t>23MH1A05M8</t>
  </si>
  <si>
    <t>23MH1A05N0</t>
  </si>
  <si>
    <t>Problem Solving (Basic)</t>
  </si>
  <si>
    <t>23MH1A05N3</t>
  </si>
  <si>
    <t>23MH1A05N4</t>
  </si>
  <si>
    <t>23MH1A05N5</t>
  </si>
  <si>
    <t>23MH1A05N6</t>
  </si>
  <si>
    <t>23MH1A05N8</t>
  </si>
  <si>
    <t>23MH1A05O0</t>
  </si>
  <si>
    <t>23MH1A05O1</t>
  </si>
  <si>
    <t>23MH1A05O2</t>
  </si>
  <si>
    <t>23MH1A05O3</t>
  </si>
  <si>
    <t>23MH1A05O5</t>
  </si>
  <si>
    <t>23MH1A05O6</t>
  </si>
  <si>
    <t>23MH1A05P3</t>
  </si>
  <si>
    <t>23MH1A05P4</t>
  </si>
  <si>
    <t>23MH1A05P9</t>
  </si>
  <si>
    <t>23MH1A05Q8</t>
  </si>
  <si>
    <t>23MH1A05R1</t>
  </si>
  <si>
    <t>23MH1A05R5</t>
  </si>
  <si>
    <t>23MH1A05S5</t>
  </si>
  <si>
    <t>23MH1A1201</t>
  </si>
  <si>
    <t>23MH1A1220</t>
  </si>
  <si>
    <t>23MH1A1227</t>
  </si>
  <si>
    <t>23MH1A1241</t>
  </si>
  <si>
    <t>23MH1A1242</t>
  </si>
  <si>
    <t>Java (Basic),Python (Basic),SQL (Basic),SQL (Intermediate)</t>
  </si>
  <si>
    <t>23MH1A1249</t>
  </si>
  <si>
    <t>23MH1A1252</t>
  </si>
  <si>
    <t>23MH1A1254</t>
  </si>
  <si>
    <t>23MH1A4206</t>
  </si>
  <si>
    <t>SQL (Basic),Python (Basic),SQL (Intermediate),SQL (Advanced)</t>
  </si>
  <si>
    <t>23MH1A4207</t>
  </si>
  <si>
    <t>23MH1A4209</t>
  </si>
  <si>
    <t>23MH1A4216</t>
  </si>
  <si>
    <t>23MH1A4217</t>
  </si>
  <si>
    <t>23MH1A4218</t>
  </si>
  <si>
    <t>23MH1A4224</t>
  </si>
  <si>
    <t>23MH1A4225</t>
  </si>
  <si>
    <t>23MH1A4226</t>
  </si>
  <si>
    <t>23MH1A4227</t>
  </si>
  <si>
    <t>23MH1A4228</t>
  </si>
  <si>
    <t>23MH1A4229</t>
  </si>
  <si>
    <t>23MH1A4234</t>
  </si>
  <si>
    <t>23MH1A4235</t>
  </si>
  <si>
    <t>23MH1A4236</t>
  </si>
  <si>
    <t>23MH1A4238</t>
  </si>
  <si>
    <t>23MH1A4243</t>
  </si>
  <si>
    <t>23MH1A4244</t>
  </si>
  <si>
    <t>23MH1A4249</t>
  </si>
  <si>
    <t>23MH1A4250</t>
  </si>
  <si>
    <t>23MH1A4255</t>
  </si>
  <si>
    <t>23MH1A4260</t>
  </si>
  <si>
    <t>23MH1A4261</t>
  </si>
  <si>
    <t>23MH1A4265</t>
  </si>
  <si>
    <t>23MH1A4266</t>
  </si>
  <si>
    <t>23MH1A4268</t>
  </si>
  <si>
    <t>23MH1A4269</t>
  </si>
  <si>
    <t>23MH1A4270</t>
  </si>
  <si>
    <t>23MH1A4271</t>
  </si>
  <si>
    <t>23MH1A4273</t>
  </si>
  <si>
    <t>23MH1A4275</t>
  </si>
  <si>
    <t>23MH1A4291</t>
  </si>
  <si>
    <t>23MH1A42A1</t>
  </si>
  <si>
    <t>23MH1A42A4</t>
  </si>
  <si>
    <t>23MH1A42B1</t>
  </si>
  <si>
    <t>SQL (Basic),Python (Basic),Java (Basic)</t>
  </si>
  <si>
    <t>23MH1A42B2</t>
  </si>
  <si>
    <t>23MH1A42B9</t>
  </si>
  <si>
    <t>23MH1A42C9</t>
  </si>
  <si>
    <t>23MH1A42D3</t>
  </si>
  <si>
    <t>23MH1A42F8</t>
  </si>
  <si>
    <t>23MH1A42G7</t>
  </si>
  <si>
    <t>SQL (Basic),Java (Basic)</t>
  </si>
  <si>
    <t>23MH1A42I9</t>
  </si>
  <si>
    <t>23MH1A42J0</t>
  </si>
  <si>
    <t>23MH1A4404</t>
  </si>
  <si>
    <t>23MH1A4406</t>
  </si>
  <si>
    <t>23MH1A4409</t>
  </si>
  <si>
    <t>23MH1A4413</t>
  </si>
  <si>
    <t>23MH1A4416</t>
  </si>
  <si>
    <t>23MH1A4420</t>
  </si>
  <si>
    <t>23MH1A4426</t>
  </si>
  <si>
    <t>23MH1A4432</t>
  </si>
  <si>
    <t>23MH1A4433</t>
  </si>
  <si>
    <t>23MH1A4434</t>
  </si>
  <si>
    <t>23MH1A4435</t>
  </si>
  <si>
    <t>23MH1A4453</t>
  </si>
  <si>
    <t>23MH1A4461</t>
  </si>
  <si>
    <t>23MH1A4462</t>
  </si>
  <si>
    <t>23MH1A4463</t>
  </si>
  <si>
    <t>23MH1A4464</t>
  </si>
  <si>
    <t>23MH1A4465</t>
  </si>
  <si>
    <t>23MH1A4901</t>
  </si>
  <si>
    <t>23MH1A4905</t>
  </si>
  <si>
    <t>23MH1A4918</t>
  </si>
  <si>
    <t>23MH1A4930</t>
  </si>
  <si>
    <t>23MH1A4944</t>
  </si>
  <si>
    <t>23MH1A4945</t>
  </si>
  <si>
    <t>23MH1A4946</t>
  </si>
  <si>
    <t>23MH1A4957</t>
  </si>
  <si>
    <t>23MH1A4962</t>
  </si>
  <si>
    <t>23MH1A4963</t>
  </si>
  <si>
    <t>23P31A0428</t>
  </si>
  <si>
    <t>23P31A0435</t>
  </si>
  <si>
    <t>23P31A0437</t>
  </si>
  <si>
    <t>23P31A0446</t>
  </si>
  <si>
    <t>23P31A0449</t>
  </si>
  <si>
    <t>23P31A0467</t>
  </si>
  <si>
    <t>23P31A0476</t>
  </si>
  <si>
    <t>23P31A0486</t>
  </si>
  <si>
    <t>23P31A0491</t>
  </si>
  <si>
    <t>23P31A0496</t>
  </si>
  <si>
    <t>23P31A04B3</t>
  </si>
  <si>
    <t>23P31A04B8</t>
  </si>
  <si>
    <t>23P31A04C4</t>
  </si>
  <si>
    <t>23P31A04C7</t>
  </si>
  <si>
    <t>23P31A04E4</t>
  </si>
  <si>
    <t>23P31A04F8</t>
  </si>
  <si>
    <t>23P31A04I5</t>
  </si>
  <si>
    <t>23P31A04I8</t>
  </si>
  <si>
    <t>23P31A04J0</t>
  </si>
  <si>
    <t>23P31A0501</t>
  </si>
  <si>
    <t>23P31A0502</t>
  </si>
  <si>
    <t>23P31A0503</t>
  </si>
  <si>
    <t>23P31A0504</t>
  </si>
  <si>
    <t>23P31A0505</t>
  </si>
  <si>
    <t>23P31A0506</t>
  </si>
  <si>
    <t>23P31A0507</t>
  </si>
  <si>
    <t>23P31A0508</t>
  </si>
  <si>
    <t>23P31A0509</t>
  </si>
  <si>
    <t>23P31A0511</t>
  </si>
  <si>
    <t>SQL (Intermediate),Python (Basic)</t>
  </si>
  <si>
    <t>23P31A0513</t>
  </si>
  <si>
    <t>23P31A0514</t>
  </si>
  <si>
    <t>23P31A0516</t>
  </si>
  <si>
    <t>23P31A0517</t>
  </si>
  <si>
    <t>23P31A0519</t>
  </si>
  <si>
    <t>23P31A0520</t>
  </si>
  <si>
    <t>23P31A0521</t>
  </si>
  <si>
    <t>23P31A0524</t>
  </si>
  <si>
    <t>23P31A0526</t>
  </si>
  <si>
    <t>23P31A0527</t>
  </si>
  <si>
    <t>23P31A0528</t>
  </si>
  <si>
    <t>23P31A0529</t>
  </si>
  <si>
    <t>23P31A0530</t>
  </si>
  <si>
    <t>23P31A0531</t>
  </si>
  <si>
    <t>23P31A0532</t>
  </si>
  <si>
    <t>23P31A0534</t>
  </si>
  <si>
    <t>23P31A0537</t>
  </si>
  <si>
    <t>23P31A0538</t>
  </si>
  <si>
    <t>23P31A0539</t>
  </si>
  <si>
    <t>23P31A0540</t>
  </si>
  <si>
    <t>23P31A0543</t>
  </si>
  <si>
    <t>23P31A0544</t>
  </si>
  <si>
    <t>23P31A0545</t>
  </si>
  <si>
    <t>23P31A0547</t>
  </si>
  <si>
    <t>23P31A0548</t>
  </si>
  <si>
    <t>23P31A0549</t>
  </si>
  <si>
    <t>23P31A0552</t>
  </si>
  <si>
    <t>23P31A0556</t>
  </si>
  <si>
    <t>23P31A0557</t>
  </si>
  <si>
    <t>23P31A0560</t>
  </si>
  <si>
    <t>23P31A0561</t>
  </si>
  <si>
    <t>23P31A0562</t>
  </si>
  <si>
    <t>23P31A0563</t>
  </si>
  <si>
    <t>23P31A0564</t>
  </si>
  <si>
    <t>23P31A0565</t>
  </si>
  <si>
    <t>Java (Basic),SQL (Basic)</t>
  </si>
  <si>
    <t>23P31A0567</t>
  </si>
  <si>
    <t>23P31A0568</t>
  </si>
  <si>
    <t>23P31A0569</t>
  </si>
  <si>
    <t>23P31A0575</t>
  </si>
  <si>
    <t>23P31A0577</t>
  </si>
  <si>
    <t>23P31A0578</t>
  </si>
  <si>
    <t>23P31A0581</t>
  </si>
  <si>
    <t>23P31A0582</t>
  </si>
  <si>
    <t>23P31A0583</t>
  </si>
  <si>
    <t>AEC</t>
  </si>
  <si>
    <t>23P31A0584</t>
  </si>
  <si>
    <t>23P31A0586</t>
  </si>
  <si>
    <t>SQL (Basic),Python (Basic),Java (Basic),SQL (Intermediate)</t>
  </si>
  <si>
    <t>23P31A0587</t>
  </si>
  <si>
    <t>23P31A0588</t>
  </si>
  <si>
    <t>23P31A0597</t>
  </si>
  <si>
    <t>23P31A0599</t>
  </si>
  <si>
    <t>23P31A05A9</t>
  </si>
  <si>
    <t>23P31A05C0</t>
  </si>
  <si>
    <t>23P31A05D3</t>
  </si>
  <si>
    <t>23P31A05D6</t>
  </si>
  <si>
    <t>23P31A05D7</t>
  </si>
  <si>
    <t>23P31A05E4</t>
  </si>
  <si>
    <t>23P31A05E5</t>
  </si>
  <si>
    <t>23P31A05F2</t>
  </si>
  <si>
    <t>23P31A05G5</t>
  </si>
  <si>
    <t>23P31A05H3</t>
  </si>
  <si>
    <t>23P31A05H4</t>
  </si>
  <si>
    <t>23P31A05H6</t>
  </si>
  <si>
    <t>23P31A05H8</t>
  </si>
  <si>
    <t>CSS (Basic)</t>
  </si>
  <si>
    <t>23P31A05I7</t>
  </si>
  <si>
    <t>23P31A05I9</t>
  </si>
  <si>
    <t>23P31A05K0</t>
  </si>
  <si>
    <t>23P31A05K5</t>
  </si>
  <si>
    <t>23P31A05L9</t>
  </si>
  <si>
    <t>23P31A05M4</t>
  </si>
  <si>
    <t>23P31A05M5</t>
  </si>
  <si>
    <t>23P31A05O1</t>
  </si>
  <si>
    <t>23P31A05O2</t>
  </si>
  <si>
    <t>23P31A05P3</t>
  </si>
  <si>
    <t>23P31A05P4</t>
  </si>
  <si>
    <t>23P31A05R2</t>
  </si>
  <si>
    <t>SQL (Basic),JavaScript (Basic)</t>
  </si>
  <si>
    <t>23P31A1201</t>
  </si>
  <si>
    <t>23P31A1202</t>
  </si>
  <si>
    <t>23P31A1203</t>
  </si>
  <si>
    <t>23P31A1205</t>
  </si>
  <si>
    <t>23P31A1206</t>
  </si>
  <si>
    <t>23P31A1208</t>
  </si>
  <si>
    <t>23P31A1209</t>
  </si>
  <si>
    <t>23P31A1210</t>
  </si>
  <si>
    <t>23P31A1211</t>
  </si>
  <si>
    <t>Problem Solving (Basic),Problem Solving (Intermediate),JavaScript (Basic),Python (Basic),SQL (Basic)</t>
  </si>
  <si>
    <t>23P31A1212</t>
  </si>
  <si>
    <t>23P31A1216</t>
  </si>
  <si>
    <t>Problem Solving (Basic),Problem Solving (Intermediate),Java (Basic),Python (Basic),JavaScript (Basic),JavaScript (Intermediate),Go (Basic),SQL (Basic),SQL (Intermediate),SQL (Advanced),R (Basic),C# (Basic),Software Engineer Intern,Software Engineer,Rest API (Intermediate),Angular (Basic)</t>
  </si>
  <si>
    <t>23P31A1218</t>
  </si>
  <si>
    <t>23P31A1221</t>
  </si>
  <si>
    <t>23P31A1222</t>
  </si>
  <si>
    <t>23P31A1223</t>
  </si>
  <si>
    <t>23P31A1225</t>
  </si>
  <si>
    <t>23P31A1226</t>
  </si>
  <si>
    <t>23P31A1227</t>
  </si>
  <si>
    <t>23P31A1228</t>
  </si>
  <si>
    <t>23P31A1230</t>
  </si>
  <si>
    <t>23P31A1231</t>
  </si>
  <si>
    <t>23P31A1232</t>
  </si>
  <si>
    <t>Problem Solving (Basic),SQL (Basic),SQL (Intermediate),SQL (Advanced)</t>
  </si>
  <si>
    <t>23P31A1235</t>
  </si>
  <si>
    <t>23P31A1249</t>
  </si>
  <si>
    <t>23P31A1250</t>
  </si>
  <si>
    <t>Python (Basic),Problem Solving (Basic),SQL (Basic),SQL (Intermediate)</t>
  </si>
  <si>
    <t>23P31A1253</t>
  </si>
  <si>
    <t>23P31A1264</t>
  </si>
  <si>
    <t>23P31A1266</t>
  </si>
  <si>
    <t>23P31A1271</t>
  </si>
  <si>
    <t>Python (Basic),SQL (Basic)</t>
  </si>
  <si>
    <t>23P31A1277</t>
  </si>
  <si>
    <t>23P31A1285</t>
  </si>
  <si>
    <t>23P31A1289</t>
  </si>
  <si>
    <t>Python (Basic),SQL (Basic),Problem Solving (Basic),SQL (Intermediate)</t>
  </si>
  <si>
    <t>23P31A1293</t>
  </si>
  <si>
    <t>23P31A12A8</t>
  </si>
  <si>
    <t>23P31A12A9</t>
  </si>
  <si>
    <t>23P31A12B5</t>
  </si>
  <si>
    <t>23P31A12B7</t>
  </si>
  <si>
    <t>23P31A12C5</t>
  </si>
  <si>
    <t>23P31A12D0</t>
  </si>
  <si>
    <t>23P31A4202</t>
  </si>
  <si>
    <t>23P31A4203</t>
  </si>
  <si>
    <t>23P31A4205</t>
  </si>
  <si>
    <t>23P31A4207</t>
  </si>
  <si>
    <t>23P31A4209</t>
  </si>
  <si>
    <t>23P31A4210</t>
  </si>
  <si>
    <t>23P31A4211</t>
  </si>
  <si>
    <t>23P31A4213</t>
  </si>
  <si>
    <t>23P31A4214</t>
  </si>
  <si>
    <t>23P31A4215</t>
  </si>
  <si>
    <t>23P31A4216</t>
  </si>
  <si>
    <t>23P31A4217</t>
  </si>
  <si>
    <t>23P31A4218</t>
  </si>
  <si>
    <t>23P31A4220</t>
  </si>
  <si>
    <t>23P31A4221</t>
  </si>
  <si>
    <t>23P31A4222</t>
  </si>
  <si>
    <t>23P31A4223</t>
  </si>
  <si>
    <t>23P31A4224</t>
  </si>
  <si>
    <t>23P31A4225</t>
  </si>
  <si>
    <t>23P31A4227</t>
  </si>
  <si>
    <t>23P31A4229</t>
  </si>
  <si>
    <t>23P31A4230</t>
  </si>
  <si>
    <t>23P31A4231</t>
  </si>
  <si>
    <t>23P31A4232</t>
  </si>
  <si>
    <t>23P31A4235</t>
  </si>
  <si>
    <t>23P31A4236</t>
  </si>
  <si>
    <t>23P31A4237</t>
  </si>
  <si>
    <t>23P31A4238</t>
  </si>
  <si>
    <t>23P31A4240</t>
  </si>
  <si>
    <t>23P31A4241</t>
  </si>
  <si>
    <t>23P31A4242</t>
  </si>
  <si>
    <t>23P31A4243</t>
  </si>
  <si>
    <t>23P31A4244</t>
  </si>
  <si>
    <t>23P31A4245</t>
  </si>
  <si>
    <t>23P31A4246</t>
  </si>
  <si>
    <t>23P31A4247</t>
  </si>
  <si>
    <t>23P31A4248</t>
  </si>
  <si>
    <t>23P31A4251</t>
  </si>
  <si>
    <t>23P31A4252</t>
  </si>
  <si>
    <t>23P31A4253</t>
  </si>
  <si>
    <t>23P31A4254</t>
  </si>
  <si>
    <t>23P31A4255</t>
  </si>
  <si>
    <t>23P31A4256</t>
  </si>
  <si>
    <t>23P31A4257</t>
  </si>
  <si>
    <t>23P31A4259</t>
  </si>
  <si>
    <t>23P31A4261</t>
  </si>
  <si>
    <t>23P31A4263</t>
  </si>
  <si>
    <t>23P31A4265</t>
  </si>
  <si>
    <t>23P31A4266</t>
  </si>
  <si>
    <t>23P31A4267</t>
  </si>
  <si>
    <t>23P31A4268</t>
  </si>
  <si>
    <t>23P31A4271</t>
  </si>
  <si>
    <t>23P31A4272</t>
  </si>
  <si>
    <t>23P31A4274</t>
  </si>
  <si>
    <t>23P31A4281</t>
  </si>
  <si>
    <t>23P31A4295</t>
  </si>
  <si>
    <t>23P31A42A1</t>
  </si>
  <si>
    <t>23P31A42A8</t>
  </si>
  <si>
    <t>23P31A42C1</t>
  </si>
  <si>
    <t>23P31A42E2</t>
  </si>
  <si>
    <t>23P31A42F6</t>
  </si>
  <si>
    <t>23P31A42G3</t>
  </si>
  <si>
    <t>SQL (Intermediate),SQL (Basic),SQL (Advanced),Java (Basic)</t>
  </si>
  <si>
    <t>23P31A4402</t>
  </si>
  <si>
    <t>23P31A4403</t>
  </si>
  <si>
    <t>23P31A4404</t>
  </si>
  <si>
    <t>23P31A4405</t>
  </si>
  <si>
    <t>23P31A4410</t>
  </si>
  <si>
    <t>23P31A4414</t>
  </si>
  <si>
    <t>23P31A4416</t>
  </si>
  <si>
    <t>23P31A4419</t>
  </si>
  <si>
    <t>23P31A4421</t>
  </si>
  <si>
    <t>23P31A4422</t>
  </si>
  <si>
    <t>23P31A4426</t>
  </si>
  <si>
    <t>23P31A4430</t>
  </si>
  <si>
    <t>23P31A4434</t>
  </si>
  <si>
    <t>23P31A4436</t>
  </si>
  <si>
    <t>23P31A4441</t>
  </si>
  <si>
    <t>CSE(AI&amp;DS)</t>
  </si>
  <si>
    <t>23P31A4442</t>
  </si>
  <si>
    <t>23P31A4443</t>
  </si>
  <si>
    <t>23P31A4444</t>
  </si>
  <si>
    <t>23P31A4465</t>
  </si>
  <si>
    <t>23P31A4466</t>
  </si>
  <si>
    <t>23P31A4467</t>
  </si>
  <si>
    <t>23P31A4475</t>
  </si>
  <si>
    <t>23P31A4477</t>
  </si>
  <si>
    <t>23P31A4479</t>
  </si>
  <si>
    <t>23P31A4482</t>
  </si>
  <si>
    <t>23P31A4484</t>
  </si>
  <si>
    <t>23P31A4486</t>
  </si>
  <si>
    <t>23P31A4487</t>
  </si>
  <si>
    <t>23P31A4490</t>
  </si>
  <si>
    <t>23P31A4497</t>
  </si>
  <si>
    <t>23P31A4498</t>
  </si>
  <si>
    <t>23P31A44A0</t>
  </si>
  <si>
    <t>23P31A44A3</t>
  </si>
  <si>
    <t>23P31A44A6</t>
  </si>
  <si>
    <t>23P31A44C4</t>
  </si>
  <si>
    <t>24A95A0403</t>
  </si>
  <si>
    <t>24A95A0406</t>
  </si>
  <si>
    <t>24A95A0407</t>
  </si>
  <si>
    <t>24A95A0408</t>
  </si>
  <si>
    <t>24A95A0412</t>
  </si>
  <si>
    <t>24A95A0413</t>
  </si>
  <si>
    <t>24A95A0414</t>
  </si>
  <si>
    <t>24A95A0415</t>
  </si>
  <si>
    <t>24A95A0421</t>
  </si>
  <si>
    <t>24A95A0424</t>
  </si>
  <si>
    <t>24A95A0425</t>
  </si>
  <si>
    <t>24A95A0502</t>
  </si>
  <si>
    <t>24A95A0505</t>
  </si>
  <si>
    <t>24A95A0510</t>
  </si>
  <si>
    <t>24A95A0511</t>
  </si>
  <si>
    <t>24A95A0512</t>
  </si>
  <si>
    <t>SQL (Basic),CSS (Basic)</t>
  </si>
  <si>
    <t>24A95A0514</t>
  </si>
  <si>
    <t>24A95A0515</t>
  </si>
  <si>
    <t>24A95A0517</t>
  </si>
  <si>
    <t>Java (Basic),SQL (Basic),Python (Basic),SQL (Intermediate)</t>
  </si>
  <si>
    <t>24A95A1202</t>
  </si>
  <si>
    <t>24A95A6101</t>
  </si>
  <si>
    <t>24A95A6108</t>
  </si>
  <si>
    <t>24A95A6109</t>
  </si>
  <si>
    <t>24P35A0401</t>
  </si>
  <si>
    <t>24P35A0402</t>
  </si>
  <si>
    <t>24P35A0403</t>
  </si>
  <si>
    <t>24P35A0407</t>
  </si>
  <si>
    <t>24P35A0413</t>
  </si>
  <si>
    <t>24P35A0422</t>
  </si>
  <si>
    <t>24P35A0430</t>
  </si>
  <si>
    <t>24P35A0431</t>
  </si>
  <si>
    <t>24P35A0436</t>
  </si>
  <si>
    <t>24P35A0513</t>
  </si>
  <si>
    <t>24P35A0514</t>
  </si>
  <si>
    <t>24P35A0518</t>
  </si>
  <si>
    <t>24P35A0519</t>
  </si>
  <si>
    <t>24P35A0520</t>
  </si>
  <si>
    <t>24P35A0521</t>
  </si>
  <si>
    <t>24P35A0530</t>
  </si>
  <si>
    <t>24P35A0531</t>
  </si>
  <si>
    <t>24P35A0535</t>
  </si>
  <si>
    <t>24P35A0539</t>
  </si>
  <si>
    <t>24P35A0541</t>
  </si>
  <si>
    <t>24P35A0545</t>
  </si>
  <si>
    <t>24P35A0549</t>
  </si>
  <si>
    <t>24P35A0550</t>
  </si>
  <si>
    <t>24P35A0553</t>
  </si>
  <si>
    <t>Python (Basic),C# (Basic),SQL (Basic),SQL (Intermediate)</t>
  </si>
  <si>
    <t>24P35A0555</t>
  </si>
  <si>
    <t>24P35A0557</t>
  </si>
  <si>
    <t>24P35A1204</t>
  </si>
  <si>
    <t>24P35A4203</t>
  </si>
  <si>
    <t>24P35A4213</t>
  </si>
  <si>
    <t>24P35A4216</t>
  </si>
  <si>
    <t>24P35A4225</t>
  </si>
  <si>
    <t>SQL (Basic),SQL (Intermediate),SQL (Advanced),Java (Basic)</t>
  </si>
  <si>
    <t>24P35A4227</t>
  </si>
  <si>
    <t>24P35A4230</t>
  </si>
  <si>
    <t>24P35A4232</t>
  </si>
  <si>
    <t>24P35A4233</t>
  </si>
  <si>
    <t>24P35A4237</t>
  </si>
  <si>
    <t>24P35A4906</t>
  </si>
  <si>
    <t>Sum of LC Program Count</t>
  </si>
  <si>
    <t>Sum of GFG Count</t>
  </si>
  <si>
    <t>Sum of CC Problem Count</t>
  </si>
  <si>
    <t>Row Labels</t>
  </si>
  <si>
    <t>Sum of Badges Count</t>
  </si>
  <si>
    <t>Sum of Certificate Count</t>
  </si>
  <si>
    <t>Distinct Count of Student ID</t>
  </si>
  <si>
    <t>Sum of GFG Overall Coding Score</t>
  </si>
  <si>
    <t>Sum of LC Rank</t>
  </si>
  <si>
    <t>Count of Student ID</t>
  </si>
  <si>
    <t>Sum of C Language</t>
  </si>
  <si>
    <t>Sum of Cpp</t>
  </si>
  <si>
    <t>Sum of Java</t>
  </si>
  <si>
    <t>Sum of Sql</t>
  </si>
  <si>
    <t>Sum of Python</t>
  </si>
  <si>
    <t>Grand Total</t>
  </si>
  <si>
    <t>AI&amp;ML Total</t>
  </si>
  <si>
    <t>RollNo</t>
  </si>
  <si>
    <t>LeetCode</t>
  </si>
  <si>
    <t>CSE Total</t>
  </si>
  <si>
    <t>CSE(AI&amp;DS) Total</t>
  </si>
  <si>
    <t>Badge Count</t>
  </si>
  <si>
    <t>DS Total</t>
  </si>
  <si>
    <t>Total Badges Earned</t>
  </si>
  <si>
    <t>Total Certifications</t>
  </si>
  <si>
    <t>ECE Total</t>
  </si>
  <si>
    <t>IT Total</t>
  </si>
  <si>
    <t>(All)</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</si>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</sst>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3" tint="0.749992370372631"/>
      <name val="Aptos Narrow"/>
      <family val="2"/>
      <scheme val="minor"/>
    </font>
  </fonts>
  <fills count="4">
    <fill>
      <patternFill patternType="none"/>
    </fill>
    <fill>
      <patternFill patternType="gray125"/>
    </fill>
    <fill>
      <patternFill patternType="solid">
        <fgColor rgb="FFF7EEDD"/>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2" fillId="2" borderId="0" xfId="0" applyFont="1" applyFill="1"/>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DD6236"/>
      <color rgb="FFFF7F50"/>
      <color rgb="FF8F1E00"/>
      <color rgb="FFF7EEDD"/>
      <color rgb="FFEDE4D3"/>
      <color rgb="FFC4BCAB"/>
      <color rgb="FFE393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8BD21D30-EC42-11CE-9E0D-00AA006002F3}"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activeX/activeX5.xml><?xml version="1.0" encoding="utf-8"?>
<ax:ocx xmlns:ax="http://schemas.microsoft.com/office/2006/activeX" xmlns:r="http://schemas.openxmlformats.org/officeDocument/2006/relationships" ax:classid="{8BD21D30-EC42-11CE-9E0D-00AA006002F3}" ax:persistence="persistStreamInit" r:id="rId1"/>
</file>

<file path=xl/activeX/activeX6.xml><?xml version="1.0" encoding="utf-8"?>
<ax:ocx xmlns:ax="http://schemas.microsoft.com/office/2006/activeX" xmlns:r="http://schemas.openxmlformats.org/officeDocument/2006/relationships" ax:classid="{8BD21D3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Problem</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StudentData!$S$25</c:f>
              <c:strCache>
                <c:ptCount val="1"/>
                <c:pt idx="0">
                  <c:v>23A91A0459</c:v>
                </c:pt>
              </c:strCache>
            </c:strRef>
          </c:tx>
          <c:spPr>
            <a:solidFill>
              <a:schemeClr val="accent1"/>
            </a:solidFill>
            <a:ln>
              <a:noFill/>
            </a:ln>
            <a:effectLst/>
          </c:spPr>
          <c:invertIfNegative val="0"/>
          <c:cat>
            <c:strRef>
              <c:f>StudentData!$R$26:$R$28</c:f>
              <c:strCache>
                <c:ptCount val="3"/>
                <c:pt idx="0">
                  <c:v>Leet Code</c:v>
                </c:pt>
                <c:pt idx="1">
                  <c:v>CodeChef</c:v>
                </c:pt>
                <c:pt idx="2">
                  <c:v>GFG</c:v>
                </c:pt>
              </c:strCache>
            </c:strRef>
          </c:cat>
          <c:val>
            <c:numRef>
              <c:f>StudentData!$S$26:$S$28</c:f>
              <c:numCache>
                <c:formatCode>General</c:formatCode>
                <c:ptCount val="3"/>
                <c:pt idx="1">
                  <c:v>144</c:v>
                </c:pt>
              </c:numCache>
            </c:numRef>
          </c:val>
          <c:extLst>
            <c:ext xmlns:c16="http://schemas.microsoft.com/office/drawing/2014/chart" uri="{C3380CC4-5D6E-409C-BE32-E72D297353CC}">
              <c16:uniqueId val="{00000000-B838-44DE-B758-1DEE34432825}"/>
            </c:ext>
          </c:extLst>
        </c:ser>
        <c:dLbls>
          <c:showLegendKey val="0"/>
          <c:showVal val="0"/>
          <c:showCatName val="0"/>
          <c:showSerName val="0"/>
          <c:showPercent val="0"/>
          <c:showBubbleSize val="0"/>
        </c:dLbls>
        <c:gapWidth val="219"/>
        <c:overlap val="-27"/>
        <c:axId val="2056650288"/>
        <c:axId val="2056641648"/>
      </c:barChart>
      <c:catAx>
        <c:axId val="20566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41648"/>
        <c:crosses val="autoZero"/>
        <c:auto val="1"/>
        <c:lblAlgn val="ctr"/>
        <c:lblOffset val="100"/>
        <c:noMultiLvlLbl val="0"/>
      </c:catAx>
      <c:valAx>
        <c:axId val="205664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5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Table!Problem count</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LC Program Count</c:v>
                </c:pt>
              </c:strCache>
            </c:strRef>
          </c:tx>
          <c:spPr>
            <a:solidFill>
              <a:schemeClr val="accent1"/>
            </a:solidFill>
            <a:ln>
              <a:noFill/>
            </a:ln>
            <a:effectLst/>
          </c:spPr>
          <c:invertIfNegative val="0"/>
          <c:cat>
            <c:strRef>
              <c:f>'Pivot Table'!$B$4</c:f>
              <c:strCache>
                <c:ptCount val="1"/>
                <c:pt idx="0">
                  <c:v>Total</c:v>
                </c:pt>
              </c:strCache>
            </c:strRef>
          </c:cat>
          <c:val>
            <c:numRef>
              <c:f>'Pivot Table'!$B$4</c:f>
              <c:numCache>
                <c:formatCode>General</c:formatCode>
                <c:ptCount val="1"/>
                <c:pt idx="0">
                  <c:v>42380</c:v>
                </c:pt>
              </c:numCache>
            </c:numRef>
          </c:val>
          <c:extLst>
            <c:ext xmlns:c16="http://schemas.microsoft.com/office/drawing/2014/chart" uri="{C3380CC4-5D6E-409C-BE32-E72D297353CC}">
              <c16:uniqueId val="{00000000-78DE-4B43-A5AE-7A1598089C6E}"/>
            </c:ext>
          </c:extLst>
        </c:ser>
        <c:ser>
          <c:idx val="1"/>
          <c:order val="1"/>
          <c:tx>
            <c:strRef>
              <c:f>'Pivot Table'!$C$3</c:f>
              <c:strCache>
                <c:ptCount val="1"/>
                <c:pt idx="0">
                  <c:v>Sum of GFG Count</c:v>
                </c:pt>
              </c:strCache>
            </c:strRef>
          </c:tx>
          <c:spPr>
            <a:solidFill>
              <a:schemeClr val="accent2"/>
            </a:solidFill>
            <a:ln>
              <a:noFill/>
            </a:ln>
            <a:effectLst/>
          </c:spPr>
          <c:invertIfNegative val="0"/>
          <c:cat>
            <c:strRef>
              <c:f>'Pivot Table'!$B$4</c:f>
              <c:strCache>
                <c:ptCount val="1"/>
                <c:pt idx="0">
                  <c:v>Total</c:v>
                </c:pt>
              </c:strCache>
            </c:strRef>
          </c:cat>
          <c:val>
            <c:numRef>
              <c:f>'Pivot Table'!$C$4</c:f>
              <c:numCache>
                <c:formatCode>General</c:formatCode>
                <c:ptCount val="1"/>
                <c:pt idx="0">
                  <c:v>18616</c:v>
                </c:pt>
              </c:numCache>
            </c:numRef>
          </c:val>
          <c:extLst>
            <c:ext xmlns:c16="http://schemas.microsoft.com/office/drawing/2014/chart" uri="{C3380CC4-5D6E-409C-BE32-E72D297353CC}">
              <c16:uniqueId val="{00000001-78DE-4B43-A5AE-7A1598089C6E}"/>
            </c:ext>
          </c:extLst>
        </c:ser>
        <c:ser>
          <c:idx val="2"/>
          <c:order val="2"/>
          <c:tx>
            <c:strRef>
              <c:f>'Pivot Table'!$D$3</c:f>
              <c:strCache>
                <c:ptCount val="1"/>
                <c:pt idx="0">
                  <c:v>Sum of CC Problem Count</c:v>
                </c:pt>
              </c:strCache>
            </c:strRef>
          </c:tx>
          <c:spPr>
            <a:solidFill>
              <a:schemeClr val="accent3"/>
            </a:solidFill>
            <a:ln>
              <a:noFill/>
            </a:ln>
            <a:effectLst/>
          </c:spPr>
          <c:invertIfNegative val="0"/>
          <c:cat>
            <c:strRef>
              <c:f>'Pivot Table'!$B$4</c:f>
              <c:strCache>
                <c:ptCount val="1"/>
                <c:pt idx="0">
                  <c:v>Total</c:v>
                </c:pt>
              </c:strCache>
            </c:strRef>
          </c:cat>
          <c:val>
            <c:numRef>
              <c:f>'Pivot Table'!$D$4</c:f>
              <c:numCache>
                <c:formatCode>General</c:formatCode>
                <c:ptCount val="1"/>
                <c:pt idx="0">
                  <c:v>131570</c:v>
                </c:pt>
              </c:numCache>
            </c:numRef>
          </c:val>
          <c:extLst>
            <c:ext xmlns:c16="http://schemas.microsoft.com/office/drawing/2014/chart" uri="{C3380CC4-5D6E-409C-BE32-E72D297353CC}">
              <c16:uniqueId val="{00000002-78DE-4B43-A5AE-7A1598089C6E}"/>
            </c:ext>
          </c:extLst>
        </c:ser>
        <c:dLbls>
          <c:showLegendKey val="0"/>
          <c:showVal val="0"/>
          <c:showCatName val="0"/>
          <c:showSerName val="0"/>
          <c:showPercent val="0"/>
          <c:showBubbleSize val="0"/>
        </c:dLbls>
        <c:gapWidth val="219"/>
        <c:overlap val="-27"/>
        <c:axId val="1711771712"/>
        <c:axId val="1711766432"/>
      </c:barChart>
      <c:catAx>
        <c:axId val="171177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6432"/>
        <c:crosses val="autoZero"/>
        <c:auto val="1"/>
        <c:lblAlgn val="ctr"/>
        <c:lblOffset val="100"/>
        <c:noMultiLvlLbl val="0"/>
      </c:catAx>
      <c:valAx>
        <c:axId val="171176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7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'Badges Count'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Table'!$BS$138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7B-4397-933F-99F1F4CD09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7B-4397-933F-99F1F4CD09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7B-4397-933F-99F1F4CD09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7B-4397-933F-99F1F4CD09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7B-4397-933F-99F1F4CD09A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7B-4397-933F-99F1F4CD09AB}"/>
              </c:ext>
            </c:extLst>
          </c:dPt>
          <c:cat>
            <c:strRef>
              <c:f>'Pivot Table'!$BR$139:$BR$145</c:f>
              <c:strCache>
                <c:ptCount val="6"/>
                <c:pt idx="0">
                  <c:v>AI&amp;ML</c:v>
                </c:pt>
                <c:pt idx="1">
                  <c:v>CSE</c:v>
                </c:pt>
                <c:pt idx="2">
                  <c:v>CSE(AI&amp;DS)</c:v>
                </c:pt>
                <c:pt idx="3">
                  <c:v>DS</c:v>
                </c:pt>
                <c:pt idx="4">
                  <c:v>ECE</c:v>
                </c:pt>
                <c:pt idx="5">
                  <c:v>IT</c:v>
                </c:pt>
              </c:strCache>
            </c:strRef>
          </c:cat>
          <c:val>
            <c:numRef>
              <c:f>'Pivot Table'!$BS$139:$BS$145</c:f>
              <c:numCache>
                <c:formatCode>General</c:formatCode>
                <c:ptCount val="6"/>
                <c:pt idx="0">
                  <c:v>308</c:v>
                </c:pt>
                <c:pt idx="1">
                  <c:v>757</c:v>
                </c:pt>
                <c:pt idx="2">
                  <c:v>70</c:v>
                </c:pt>
                <c:pt idx="3">
                  <c:v>170</c:v>
                </c:pt>
                <c:pt idx="4">
                  <c:v>237</c:v>
                </c:pt>
                <c:pt idx="5">
                  <c:v>178</c:v>
                </c:pt>
              </c:numCache>
            </c:numRef>
          </c:val>
          <c:extLst>
            <c:ext xmlns:c16="http://schemas.microsoft.com/office/drawing/2014/chart" uri="{C3380CC4-5D6E-409C-BE32-E72D297353CC}">
              <c16:uniqueId val="{00000006-9B47-409E-8CD7-7A608EB4206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Problems</a:t>
            </a:r>
            <a:r>
              <a:rPr lang="en-IN" b="1" baseline="0">
                <a:solidFill>
                  <a:schemeClr val="bg1"/>
                </a:solidFill>
              </a:rPr>
              <a:t> Count by College</a:t>
            </a:r>
            <a:endParaRPr lang="en-IN" b="1">
              <a:solidFill>
                <a:schemeClr val="bg1"/>
              </a:solidFill>
            </a:endParaRP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Table'!$CX$130</c:f>
              <c:strCache>
                <c:ptCount val="1"/>
                <c:pt idx="0">
                  <c:v>Sum of CC Problem Count</c:v>
                </c:pt>
              </c:strCache>
            </c:strRef>
          </c:tx>
          <c:spPr>
            <a:solidFill>
              <a:schemeClr val="accent2">
                <a:lumMod val="60000"/>
                <a:lumOff val="40000"/>
              </a:schemeClr>
            </a:solidFill>
            <a:ln>
              <a:noFill/>
            </a:ln>
            <a:effectLst/>
          </c:spPr>
          <c:invertIfNegative val="0"/>
          <c:cat>
            <c:strRef>
              <c:f>'Pivot Table'!$CX$131</c:f>
              <c:strCache>
                <c:ptCount val="1"/>
                <c:pt idx="0">
                  <c:v>Total</c:v>
                </c:pt>
              </c:strCache>
            </c:strRef>
          </c:cat>
          <c:val>
            <c:numRef>
              <c:f>'Pivot Table'!$CX$131</c:f>
              <c:numCache>
                <c:formatCode>General</c:formatCode>
                <c:ptCount val="1"/>
                <c:pt idx="0">
                  <c:v>131570</c:v>
                </c:pt>
              </c:numCache>
            </c:numRef>
          </c:val>
          <c:extLst>
            <c:ext xmlns:c16="http://schemas.microsoft.com/office/drawing/2014/chart" uri="{C3380CC4-5D6E-409C-BE32-E72D297353CC}">
              <c16:uniqueId val="{00000000-30ED-428E-AA33-1C6FADC8C490}"/>
            </c:ext>
          </c:extLst>
        </c:ser>
        <c:ser>
          <c:idx val="1"/>
          <c:order val="1"/>
          <c:tx>
            <c:strRef>
              <c:f>'Pivot Table'!$CY$130</c:f>
              <c:strCache>
                <c:ptCount val="1"/>
                <c:pt idx="0">
                  <c:v>Sum of GFG Count</c:v>
                </c:pt>
              </c:strCache>
            </c:strRef>
          </c:tx>
          <c:spPr>
            <a:solidFill>
              <a:schemeClr val="accent2"/>
            </a:solidFill>
            <a:ln>
              <a:noFill/>
            </a:ln>
            <a:effectLst/>
          </c:spPr>
          <c:invertIfNegative val="0"/>
          <c:cat>
            <c:strRef>
              <c:f>'Pivot Table'!$CX$131</c:f>
              <c:strCache>
                <c:ptCount val="1"/>
                <c:pt idx="0">
                  <c:v>Total</c:v>
                </c:pt>
              </c:strCache>
            </c:strRef>
          </c:cat>
          <c:val>
            <c:numRef>
              <c:f>'Pivot Table'!$CY$131</c:f>
              <c:numCache>
                <c:formatCode>General</c:formatCode>
                <c:ptCount val="1"/>
                <c:pt idx="0">
                  <c:v>18616</c:v>
                </c:pt>
              </c:numCache>
            </c:numRef>
          </c:val>
          <c:extLst>
            <c:ext xmlns:c16="http://schemas.microsoft.com/office/drawing/2014/chart" uri="{C3380CC4-5D6E-409C-BE32-E72D297353CC}">
              <c16:uniqueId val="{00000001-30ED-428E-AA33-1C6FADC8C490}"/>
            </c:ext>
          </c:extLst>
        </c:ser>
        <c:ser>
          <c:idx val="2"/>
          <c:order val="2"/>
          <c:tx>
            <c:strRef>
              <c:f>'Pivot Table'!$CZ$130</c:f>
              <c:strCache>
                <c:ptCount val="1"/>
                <c:pt idx="0">
                  <c:v>Sum of LC Program Count</c:v>
                </c:pt>
              </c:strCache>
            </c:strRef>
          </c:tx>
          <c:spPr>
            <a:solidFill>
              <a:schemeClr val="accent2">
                <a:lumMod val="60000"/>
                <a:lumOff val="40000"/>
              </a:schemeClr>
            </a:solidFill>
            <a:ln>
              <a:noFill/>
            </a:ln>
            <a:effectLst/>
          </c:spPr>
          <c:invertIfNegative val="0"/>
          <c:cat>
            <c:strRef>
              <c:f>'Pivot Table'!$CX$131</c:f>
              <c:strCache>
                <c:ptCount val="1"/>
                <c:pt idx="0">
                  <c:v>Total</c:v>
                </c:pt>
              </c:strCache>
            </c:strRef>
          </c:cat>
          <c:val>
            <c:numRef>
              <c:f>'Pivot Table'!$CZ$131</c:f>
              <c:numCache>
                <c:formatCode>General</c:formatCode>
                <c:ptCount val="1"/>
                <c:pt idx="0">
                  <c:v>42380</c:v>
                </c:pt>
              </c:numCache>
            </c:numRef>
          </c:val>
          <c:extLst>
            <c:ext xmlns:c16="http://schemas.microsoft.com/office/drawing/2014/chart" uri="{C3380CC4-5D6E-409C-BE32-E72D297353CC}">
              <c16:uniqueId val="{00000002-30ED-428E-AA33-1C6FADC8C490}"/>
            </c:ext>
          </c:extLst>
        </c:ser>
        <c:dLbls>
          <c:showLegendKey val="0"/>
          <c:showVal val="0"/>
          <c:showCatName val="0"/>
          <c:showSerName val="0"/>
          <c:showPercent val="0"/>
          <c:showBubbleSize val="0"/>
        </c:dLbls>
        <c:gapWidth val="219"/>
        <c:overlap val="-27"/>
        <c:axId val="1792959760"/>
        <c:axId val="1792951600"/>
      </c:barChart>
      <c:catAx>
        <c:axId val="1792959760"/>
        <c:scaling>
          <c:orientation val="minMax"/>
        </c:scaling>
        <c:delete val="1"/>
        <c:axPos val="b"/>
        <c:numFmt formatCode="General" sourceLinked="1"/>
        <c:majorTickMark val="none"/>
        <c:minorTickMark val="none"/>
        <c:tickLblPos val="nextTo"/>
        <c:crossAx val="1792951600"/>
        <c:crosses val="autoZero"/>
        <c:auto val="1"/>
        <c:lblAlgn val="ctr"/>
        <c:lblOffset val="100"/>
        <c:noMultiLvlLbl val="0"/>
      </c:catAx>
      <c:valAx>
        <c:axId val="17929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5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EEDD"/>
    </a:solidFill>
    <a:ln w="317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20"/>
  </c:pivotSource>
  <c:chart>
    <c:title>
      <c:tx>
        <c:rich>
          <a:bodyPr rot="0" spcFirstLastPara="1" vertOverflow="ellipsis" vert="horz" wrap="square" anchor="ctr" anchorCtr="1"/>
          <a:lstStyle/>
          <a:p>
            <a:pPr>
              <a:defRPr sz="1400" b="1" i="0" u="none" strike="noStrike" kern="1200" spc="0" baseline="0">
                <a:solidFill>
                  <a:srgbClr val="BE5014"/>
                </a:solidFill>
                <a:latin typeface="+mn-lt"/>
                <a:ea typeface="+mn-ea"/>
                <a:cs typeface="+mn-cs"/>
              </a:defRPr>
            </a:pPr>
            <a:r>
              <a:rPr lang="en-US"/>
              <a:t>'Student ID' by 'College'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BE501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rgbClr val="F1A983"/>
          </a:solidFill>
          <a:ln w="19050">
            <a:solidFill>
              <a:srgbClr val="FFFFFF"/>
            </a:solidFill>
            <a:prstDash val="solid"/>
          </a:ln>
          <a:effectLst/>
        </c:spPr>
      </c:pivotFmt>
      <c:pivotFmt>
        <c:idx val="35"/>
        <c:spPr>
          <a:solidFill>
            <a:srgbClr val="BE5014"/>
          </a:solidFill>
          <a:ln w="19050">
            <a:solidFill>
              <a:srgbClr val="FFFFFF"/>
            </a:solidFill>
            <a:prstDash val="solid"/>
          </a:ln>
          <a:effectLst/>
        </c:spPr>
      </c:pivotFmt>
      <c:pivotFmt>
        <c:idx val="36"/>
        <c:spPr>
          <a:solidFill>
            <a:srgbClr val="F1A983"/>
          </a:solidFill>
          <a:ln w="19050">
            <a:solidFill>
              <a:srgbClr val="FFFFFF"/>
            </a:solidFill>
            <a:prstDash val="solid"/>
          </a:ln>
          <a:effectLst/>
        </c:spPr>
      </c:pivotFmt>
      <c:pivotFmt>
        <c:idx val="37"/>
        <c:spPr>
          <a:solidFill>
            <a:schemeClr val="accent1"/>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rgbClr val="BE5014"/>
          </a:solidFill>
          <a:ln w="19050">
            <a:solidFill>
              <a:srgbClr val="FFFFFF"/>
            </a:solidFill>
            <a:prstDash val="solid"/>
          </a:ln>
          <a:effectLst/>
        </c:spPr>
      </c:pivotFmt>
      <c:pivotFmt>
        <c:idx val="39"/>
        <c:spPr>
          <a:solidFill>
            <a:srgbClr val="F1A983"/>
          </a:solidFill>
          <a:ln w="19050">
            <a:solidFill>
              <a:srgbClr val="FFFFFF"/>
            </a:solidFill>
            <a:prstDash val="solid"/>
          </a:ln>
          <a:effectLst/>
        </c:spPr>
      </c:pivotFmt>
      <c:pivotFmt>
        <c:idx val="40"/>
        <c:spPr>
          <a:solidFill>
            <a:srgbClr val="F1A983"/>
          </a:solidFill>
          <a:ln w="19050">
            <a:solidFill>
              <a:srgbClr val="FFFFFF"/>
            </a:solidFill>
            <a:prstDash val="solid"/>
          </a:ln>
          <a:effectLst/>
        </c:spPr>
      </c:pivotFmt>
      <c:pivotFmt>
        <c:idx val="41"/>
        <c:spPr>
          <a:solidFill>
            <a:schemeClr val="accent1"/>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spPr>
          <a:solidFill>
            <a:srgbClr val="BE5014"/>
          </a:solidFill>
          <a:ln w="19050">
            <a:solidFill>
              <a:srgbClr val="FFFFFF"/>
            </a:solidFill>
            <a:prstDash val="solid"/>
          </a:ln>
          <a:effectLst/>
        </c:spPr>
      </c:pivotFmt>
      <c:pivotFmt>
        <c:idx val="43"/>
        <c:spPr>
          <a:solidFill>
            <a:srgbClr val="F1A983"/>
          </a:solidFill>
          <a:ln w="19050">
            <a:solidFill>
              <a:srgbClr val="FFFFFF"/>
            </a:solidFill>
            <a:prstDash val="solid"/>
          </a:ln>
          <a:effectLst/>
        </c:spPr>
      </c:pivotFmt>
      <c:pivotFmt>
        <c:idx val="44"/>
        <c:spPr>
          <a:solidFill>
            <a:srgbClr val="F1A983"/>
          </a:solidFill>
          <a:ln w="19050">
            <a:solidFill>
              <a:srgbClr val="FFFFFF"/>
            </a:solidFill>
            <a:prstDash val="solid"/>
          </a:ln>
          <a:effectLst/>
        </c:spPr>
      </c:pivotFmt>
      <c:pivotFmt>
        <c:idx val="45"/>
        <c:spPr>
          <a:solidFill>
            <a:schemeClr val="accent1"/>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6"/>
        <c:spPr>
          <a:solidFill>
            <a:srgbClr val="BE5014"/>
          </a:solidFill>
          <a:ln w="19050">
            <a:solidFill>
              <a:srgbClr val="FFFFFF"/>
            </a:solidFill>
            <a:prstDash val="solid"/>
          </a:ln>
          <a:effectLst/>
        </c:spPr>
      </c:pivotFmt>
      <c:pivotFmt>
        <c:idx val="47"/>
        <c:spPr>
          <a:solidFill>
            <a:srgbClr val="F1A983"/>
          </a:solidFill>
          <a:ln w="19050">
            <a:solidFill>
              <a:srgbClr val="FFFFFF"/>
            </a:solidFill>
            <a:prstDash val="solid"/>
          </a:ln>
          <a:effectLst/>
        </c:spPr>
      </c:pivotFmt>
      <c:pivotFmt>
        <c:idx val="48"/>
        <c:spPr>
          <a:solidFill>
            <a:srgbClr val="F1A983"/>
          </a:solidFill>
          <a:ln w="19050">
            <a:solidFill>
              <a:srgbClr val="FFFFFF"/>
            </a:solidFill>
            <a:prstDash val="solid"/>
          </a:ln>
          <a:effectLst/>
        </c:spPr>
      </c:pivotFmt>
      <c:pivotFmt>
        <c:idx val="49"/>
        <c:spPr>
          <a:solidFill>
            <a:schemeClr val="accent1"/>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rgbClr val="BE5014"/>
          </a:solidFill>
          <a:ln w="19050">
            <a:solidFill>
              <a:srgbClr val="FFFFFF"/>
            </a:solidFill>
            <a:prstDash val="solid"/>
          </a:ln>
          <a:effectLst/>
        </c:spPr>
      </c:pivotFmt>
      <c:pivotFmt>
        <c:idx val="51"/>
        <c:spPr>
          <a:solidFill>
            <a:srgbClr val="F1A983"/>
          </a:solidFill>
          <a:ln w="19050">
            <a:solidFill>
              <a:srgbClr val="FFFFFF"/>
            </a:solidFill>
            <a:prstDash val="solid"/>
          </a:ln>
          <a:effectLst/>
        </c:spPr>
      </c:pivotFmt>
      <c:pivotFmt>
        <c:idx val="52"/>
        <c:spPr>
          <a:solidFill>
            <a:srgbClr val="F1A983"/>
          </a:solidFill>
          <a:ln w="19050">
            <a:solidFill>
              <a:srgbClr val="FFFFFF"/>
            </a:solidFill>
            <a:prstDash val="solid"/>
          </a:ln>
          <a:effectLst/>
        </c:spPr>
      </c:pivotFmt>
      <c:pivotFmt>
        <c:idx val="53"/>
        <c:spPr>
          <a:solidFill>
            <a:schemeClr val="accent1"/>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4"/>
        <c:spPr>
          <a:solidFill>
            <a:srgbClr val="BE5014"/>
          </a:solidFill>
          <a:ln w="19050">
            <a:solidFill>
              <a:srgbClr val="FFFFFF"/>
            </a:solidFill>
            <a:prstDash val="solid"/>
          </a:ln>
          <a:effectLst/>
        </c:spPr>
      </c:pivotFmt>
      <c:pivotFmt>
        <c:idx val="55"/>
        <c:spPr>
          <a:solidFill>
            <a:srgbClr val="F1A983"/>
          </a:solidFill>
          <a:ln w="19050">
            <a:solidFill>
              <a:srgbClr val="FFFFFF"/>
            </a:solidFill>
            <a:prstDash val="solid"/>
          </a:ln>
          <a:effectLst/>
        </c:spPr>
      </c:pivotFmt>
      <c:pivotFmt>
        <c:idx val="56"/>
        <c:spPr>
          <a:solidFill>
            <a:srgbClr val="F1A983"/>
          </a:solidFill>
          <a:ln w="19050">
            <a:solidFill>
              <a:srgbClr val="FFFFFF"/>
            </a:solidFill>
            <a:prstDash val="solid"/>
          </a:ln>
          <a:effectLst/>
        </c:spPr>
      </c:pivotFmt>
      <c:pivotFmt>
        <c:idx val="57"/>
        <c:spPr>
          <a:solidFill>
            <a:schemeClr val="accent1"/>
          </a:solidFill>
          <a:ln w="19050">
            <a:solidFill>
              <a:srgbClr val="FFFFFF"/>
            </a:solidFill>
            <a:prstDash val="soli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8"/>
        <c:spPr>
          <a:solidFill>
            <a:srgbClr val="BE5014"/>
          </a:solidFill>
          <a:ln w="19050">
            <a:solidFill>
              <a:srgbClr val="FFFFFF"/>
            </a:solidFill>
            <a:prstDash val="solid"/>
          </a:ln>
          <a:effectLst/>
        </c:spPr>
        <c:dLbl>
          <c:idx val="0"/>
          <c:layout>
            <c:manualLayout>
              <c:x val="0.11233932069406506"/>
              <c:y val="-3.5625317489014048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9"/>
        <c:spPr>
          <a:solidFill>
            <a:srgbClr val="F1A983"/>
          </a:solidFill>
          <a:ln w="19050">
            <a:solidFill>
              <a:srgbClr val="FFFFFF"/>
            </a:solidFill>
            <a:prstDash val="solid"/>
          </a:ln>
          <a:effectLst/>
        </c:spPr>
        <c:dLbl>
          <c:idx val="0"/>
          <c:layout>
            <c:manualLayout>
              <c:x val="0.17106130444357717"/>
              <c:y val="-0.1047153634736237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0"/>
        <c:spPr>
          <a:solidFill>
            <a:srgbClr val="F1A983"/>
          </a:solidFill>
          <a:ln w="19050">
            <a:solidFill>
              <a:srgbClr val="FFFFFF"/>
            </a:solidFill>
            <a:prstDash val="solid"/>
          </a:ln>
          <a:effectLst/>
        </c:spPr>
        <c:dLbl>
          <c:idx val="0"/>
          <c:layout>
            <c:manualLayout>
              <c:x val="-8.4138967556979097E-2"/>
              <c:y val="-6.7368673234206519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1"/>
        <c:spPr>
          <a:solidFill>
            <a:schemeClr val="accent1"/>
          </a:solidFill>
          <a:ln w="19050">
            <a:solidFill>
              <a:srgbClr val="FFFFFF"/>
            </a:solidFill>
            <a:prstDash val="soli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2"/>
        <c:spPr>
          <a:solidFill>
            <a:srgbClr val="BE5014"/>
          </a:solidFill>
          <a:ln w="19050">
            <a:solidFill>
              <a:srgbClr val="FFFFFF"/>
            </a:solidFill>
            <a:prstDash val="solid"/>
          </a:ln>
          <a:effectLst/>
        </c:spPr>
        <c:dLbl>
          <c:idx val="0"/>
          <c:layout>
            <c:manualLayout>
              <c:x val="0.11233932069406506"/>
              <c:y val="-3.5625317489014048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3"/>
        <c:spPr>
          <a:solidFill>
            <a:srgbClr val="F1A983"/>
          </a:solidFill>
          <a:ln w="19050">
            <a:solidFill>
              <a:srgbClr val="FFFFFF"/>
            </a:solidFill>
            <a:prstDash val="solid"/>
          </a:ln>
          <a:effectLst/>
        </c:spPr>
        <c:dLbl>
          <c:idx val="0"/>
          <c:layout>
            <c:manualLayout>
              <c:x val="0.17106130444357717"/>
              <c:y val="-0.1047153634736237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4"/>
        <c:spPr>
          <a:solidFill>
            <a:srgbClr val="F1A983"/>
          </a:solidFill>
          <a:ln w="19050">
            <a:solidFill>
              <a:srgbClr val="FFFFFF"/>
            </a:solidFill>
            <a:prstDash val="solid"/>
          </a:ln>
          <a:effectLst/>
        </c:spPr>
        <c:dLbl>
          <c:idx val="0"/>
          <c:layout>
            <c:manualLayout>
              <c:x val="-8.4138967556979097E-2"/>
              <c:y val="-6.7368673234206519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5"/>
        <c:spPr>
          <a:solidFill>
            <a:schemeClr val="accent1"/>
          </a:solidFill>
          <a:ln w="19050">
            <a:solidFill>
              <a:srgbClr val="FFFFFF"/>
            </a:solidFill>
            <a:prstDash val="soli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6"/>
        <c:spPr>
          <a:solidFill>
            <a:srgbClr val="F1A983"/>
          </a:solidFill>
          <a:ln w="19050">
            <a:solidFill>
              <a:srgbClr val="FFFFFF"/>
            </a:solidFill>
            <a:prstDash val="solid"/>
          </a:ln>
          <a:effectLst/>
        </c:spPr>
        <c:dLbl>
          <c:idx val="0"/>
          <c:layout>
            <c:manualLayout>
              <c:x val="-8.4138967556979097E-2"/>
              <c:y val="-6.7368673234206519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7"/>
        <c:spPr>
          <a:solidFill>
            <a:schemeClr val="accent1"/>
          </a:solidFill>
          <a:ln w="19050">
            <a:solidFill>
              <a:srgbClr val="FFFFFF"/>
            </a:solidFill>
            <a:prstDash val="solid"/>
          </a:ln>
          <a:effectLst/>
        </c:spPr>
      </c:pivotFmt>
      <c:pivotFmt>
        <c:idx val="68"/>
        <c:spPr>
          <a:solidFill>
            <a:schemeClr val="accent1"/>
          </a:solidFill>
          <a:ln w="19050">
            <a:solidFill>
              <a:srgbClr val="FFFFFF"/>
            </a:solidFill>
            <a:prstDash val="solid"/>
          </a:ln>
          <a:effectLst/>
        </c:spPr>
      </c:pivotFmt>
      <c:pivotFmt>
        <c:idx val="69"/>
        <c:spPr>
          <a:solidFill>
            <a:schemeClr val="accent1"/>
          </a:solidFill>
          <a:ln w="19050">
            <a:solidFill>
              <a:srgbClr val="FFFFFF"/>
            </a:solidFill>
            <a:prstDash val="solid"/>
          </a:ln>
          <a:effectLst/>
        </c:spPr>
      </c:pivotFmt>
      <c:pivotFmt>
        <c:idx val="70"/>
        <c:spPr>
          <a:solidFill>
            <a:schemeClr val="accent1"/>
          </a:solidFill>
          <a:ln w="19050">
            <a:solidFill>
              <a:srgbClr val="FFFFFF"/>
            </a:solidFill>
            <a:prstDash val="solid"/>
          </a:ln>
          <a:effectLst/>
        </c:spPr>
        <c:dLbl>
          <c:idx val="0"/>
          <c:layout>
            <c:manualLayout>
              <c:x val="2.8019695220025363E-2"/>
              <c:y val="-2.9111763372458188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1"/>
        <c:spPr>
          <a:solidFill>
            <a:schemeClr val="accent1"/>
          </a:solidFill>
          <a:ln w="19050">
            <a:solidFill>
              <a:srgbClr val="FFFFFF"/>
            </a:solidFill>
            <a:prstDash val="solid"/>
          </a:ln>
          <a:effectLst/>
        </c:spPr>
        <c:dLbl>
          <c:idx val="0"/>
          <c:layout>
            <c:manualLayout>
              <c:x val="0.14507673503259585"/>
              <c:y val="-0.1090610489341069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2"/>
        <c:spPr>
          <a:solidFill>
            <a:srgbClr val="DD6236"/>
          </a:solidFill>
          <a:ln w="19050">
            <a:solidFill>
              <a:srgbClr val="FFFFFF"/>
            </a:solidFill>
            <a:prstDash val="soli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3"/>
        <c:spPr>
          <a:solidFill>
            <a:srgbClr val="DD6236"/>
          </a:solidFill>
          <a:ln w="19050">
            <a:solidFill>
              <a:srgbClr val="FFFFFF"/>
            </a:solidFill>
            <a:prstDash val="solid"/>
          </a:ln>
          <a:effectLst/>
        </c:spPr>
        <c:dLbl>
          <c:idx val="0"/>
          <c:layout>
            <c:manualLayout>
              <c:x val="2.8019695220025363E-2"/>
              <c:y val="-2.9111763372458188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4"/>
        <c:spPr>
          <a:solidFill>
            <a:srgbClr val="8F1E00"/>
          </a:solidFill>
          <a:ln w="19050">
            <a:solidFill>
              <a:srgbClr val="FFFFFF"/>
            </a:solidFill>
            <a:prstDash val="solid"/>
          </a:ln>
          <a:effectLst/>
        </c:spPr>
        <c:dLbl>
          <c:idx val="0"/>
          <c:layout>
            <c:manualLayout>
              <c:x val="0.14507673503259585"/>
              <c:y val="-0.10906104893410695"/>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5"/>
        <c:spPr>
          <a:solidFill>
            <a:srgbClr val="F1A983"/>
          </a:solidFill>
          <a:ln w="19050">
            <a:solidFill>
              <a:srgbClr val="FFFFFF"/>
            </a:solidFill>
            <a:prstDash val="solid"/>
          </a:ln>
          <a:effectLst/>
        </c:spPr>
        <c:dLbl>
          <c:idx val="0"/>
          <c:layout>
            <c:manualLayout>
              <c:x val="-8.4138967556979097E-2"/>
              <c:y val="-6.7368673234206519E-3"/>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 Table'!$AL$3</c:f>
              <c:strCache>
                <c:ptCount val="1"/>
                <c:pt idx="0">
                  <c:v>Total</c:v>
                </c:pt>
              </c:strCache>
            </c:strRef>
          </c:tx>
          <c:spPr>
            <a:solidFill>
              <a:srgbClr val="DD6236"/>
            </a:solidFill>
            <a:ln>
              <a:solidFill>
                <a:srgbClr val="FFFFFF"/>
              </a:solidFill>
              <a:prstDash val="solid"/>
            </a:ln>
          </c:spPr>
          <c:dPt>
            <c:idx val="0"/>
            <c:bubble3D val="0"/>
            <c:spPr>
              <a:solidFill>
                <a:srgbClr val="DD6236"/>
              </a:solidFill>
              <a:ln w="19050">
                <a:solidFill>
                  <a:srgbClr val="FFFFFF"/>
                </a:solidFill>
                <a:prstDash val="solid"/>
              </a:ln>
              <a:effectLst/>
            </c:spPr>
            <c:extLst>
              <c:ext xmlns:c16="http://schemas.microsoft.com/office/drawing/2014/chart" uri="{C3380CC4-5D6E-409C-BE32-E72D297353CC}">
                <c16:uniqueId val="{00000001-0D7D-4708-9036-0ED13C95A158}"/>
              </c:ext>
            </c:extLst>
          </c:dPt>
          <c:dPt>
            <c:idx val="1"/>
            <c:bubble3D val="0"/>
            <c:spPr>
              <a:solidFill>
                <a:srgbClr val="8F1E00"/>
              </a:solidFill>
              <a:ln w="19050">
                <a:solidFill>
                  <a:srgbClr val="FFFFFF"/>
                </a:solidFill>
                <a:prstDash val="solid"/>
              </a:ln>
              <a:effectLst/>
            </c:spPr>
            <c:extLst>
              <c:ext xmlns:c16="http://schemas.microsoft.com/office/drawing/2014/chart" uri="{C3380CC4-5D6E-409C-BE32-E72D297353CC}">
                <c16:uniqueId val="{00000003-0D7D-4708-9036-0ED13C95A158}"/>
              </c:ext>
            </c:extLst>
          </c:dPt>
          <c:dPt>
            <c:idx val="2"/>
            <c:bubble3D val="0"/>
            <c:spPr>
              <a:solidFill>
                <a:srgbClr val="F1A983"/>
              </a:solidFill>
              <a:ln w="19050">
                <a:solidFill>
                  <a:srgbClr val="FFFFFF"/>
                </a:solidFill>
                <a:prstDash val="solid"/>
              </a:ln>
              <a:effectLst/>
            </c:spPr>
            <c:extLst>
              <c:ext xmlns:c16="http://schemas.microsoft.com/office/drawing/2014/chart" uri="{C3380CC4-5D6E-409C-BE32-E72D297353CC}">
                <c16:uniqueId val="{00000005-0D7D-4708-9036-0ED13C95A158}"/>
              </c:ext>
            </c:extLst>
          </c:dPt>
          <c:dLbls>
            <c:dLbl>
              <c:idx val="0"/>
              <c:layout>
                <c:manualLayout>
                  <c:x val="2.8019695220025363E-2"/>
                  <c:y val="-2.911176337245818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D7D-4708-9036-0ED13C95A158}"/>
                </c:ext>
              </c:extLst>
            </c:dLbl>
            <c:dLbl>
              <c:idx val="1"/>
              <c:layout>
                <c:manualLayout>
                  <c:x val="0.14507673503259585"/>
                  <c:y val="-0.10906104893410695"/>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D7D-4708-9036-0ED13C95A158}"/>
                </c:ext>
              </c:extLst>
            </c:dLbl>
            <c:dLbl>
              <c:idx val="2"/>
              <c:layout>
                <c:manualLayout>
                  <c:x val="-8.4138967556979097E-2"/>
                  <c:y val="-6.7368673234206519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D7D-4708-9036-0ED13C95A158}"/>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Table'!$AK$4:$AK$7</c:f>
              <c:strCache>
                <c:ptCount val="3"/>
                <c:pt idx="0">
                  <c:v>ACET</c:v>
                </c:pt>
                <c:pt idx="1">
                  <c:v>ACOE</c:v>
                </c:pt>
                <c:pt idx="2">
                  <c:v>AEC</c:v>
                </c:pt>
              </c:strCache>
            </c:strRef>
          </c:cat>
          <c:val>
            <c:numRef>
              <c:f>'Pivot Table'!$AL$4:$AL$7</c:f>
              <c:numCache>
                <c:formatCode>General</c:formatCode>
                <c:ptCount val="3"/>
                <c:pt idx="0">
                  <c:v>167</c:v>
                </c:pt>
                <c:pt idx="1">
                  <c:v>277</c:v>
                </c:pt>
                <c:pt idx="2">
                  <c:v>228</c:v>
                </c:pt>
              </c:numCache>
            </c:numRef>
          </c:val>
          <c:extLst>
            <c:ext xmlns:c16="http://schemas.microsoft.com/office/drawing/2014/chart" uri="{C3380CC4-5D6E-409C-BE32-E72D297353CC}">
              <c16:uniqueId val="{00000006-0D7D-4708-9036-0ED13C95A1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7EEDD">
        <a:alpha val="79000"/>
      </a:srgbClr>
    </a:solidFill>
    <a:ln w="317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
  </c:pivotSource>
  <c:chart>
    <c:title>
      <c:tx>
        <c:rich>
          <a:bodyPr rot="0" spcFirstLastPara="1" vertOverflow="ellipsis" vert="horz" wrap="square" anchor="ctr" anchorCtr="1"/>
          <a:lstStyle/>
          <a:p>
            <a:pPr>
              <a:defRPr sz="1400" b="1" i="0" u="none" strike="noStrike" kern="1200" spc="0" baseline="0">
                <a:solidFill>
                  <a:srgbClr val="E97132"/>
                </a:solidFill>
                <a:latin typeface="+mn-lt"/>
                <a:ea typeface="+mn-ea"/>
                <a:cs typeface="+mn-cs"/>
              </a:defRPr>
            </a:pPr>
            <a:r>
              <a:rPr lang="en-US"/>
              <a:t>'Student ID'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97132"/>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A983"/>
          </a:solidFill>
          <a:ln>
            <a:solidFill>
              <a:srgbClr val="F1A983"/>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7C7A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Table'!$L$80</c:f>
              <c:strCache>
                <c:ptCount val="1"/>
                <c:pt idx="0">
                  <c:v>Total</c:v>
                </c:pt>
              </c:strCache>
            </c:strRef>
          </c:tx>
          <c:spPr>
            <a:solidFill>
              <a:srgbClr val="F7C7A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Table'!$K$81:$K$87</c:f>
              <c:strCache>
                <c:ptCount val="6"/>
                <c:pt idx="0">
                  <c:v>AI&amp;ML</c:v>
                </c:pt>
                <c:pt idx="1">
                  <c:v>CSE</c:v>
                </c:pt>
                <c:pt idx="2">
                  <c:v>CSE(AI&amp;DS)</c:v>
                </c:pt>
                <c:pt idx="3">
                  <c:v>DS</c:v>
                </c:pt>
                <c:pt idx="4">
                  <c:v>ECE</c:v>
                </c:pt>
                <c:pt idx="5">
                  <c:v>IT</c:v>
                </c:pt>
              </c:strCache>
            </c:strRef>
          </c:cat>
          <c:val>
            <c:numRef>
              <c:f>'Pivot Table'!$L$81:$L$87</c:f>
              <c:numCache>
                <c:formatCode>General</c:formatCode>
                <c:ptCount val="6"/>
                <c:pt idx="0">
                  <c:v>115</c:v>
                </c:pt>
                <c:pt idx="1">
                  <c:v>262</c:v>
                </c:pt>
                <c:pt idx="2">
                  <c:v>61</c:v>
                </c:pt>
                <c:pt idx="3">
                  <c:v>62</c:v>
                </c:pt>
                <c:pt idx="4">
                  <c:v>93</c:v>
                </c:pt>
                <c:pt idx="5">
                  <c:v>79</c:v>
                </c:pt>
              </c:numCache>
            </c:numRef>
          </c:val>
          <c:extLst>
            <c:ext xmlns:c16="http://schemas.microsoft.com/office/drawing/2014/chart" uri="{C3380CC4-5D6E-409C-BE32-E72D297353CC}">
              <c16:uniqueId val="{00000000-6103-4077-BDD7-8508E8242414}"/>
            </c:ext>
          </c:extLst>
        </c:ser>
        <c:dLbls>
          <c:showLegendKey val="0"/>
          <c:showVal val="0"/>
          <c:showCatName val="0"/>
          <c:showSerName val="0"/>
          <c:showPercent val="0"/>
          <c:showBubbleSize val="0"/>
        </c:dLbls>
        <c:gapWidth val="33"/>
        <c:overlap val="-30"/>
        <c:axId val="385733127"/>
        <c:axId val="385737735"/>
      </c:barChart>
      <c:catAx>
        <c:axId val="385733127"/>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E97132"/>
                    </a:solidFill>
                    <a:latin typeface="+mn-lt"/>
                    <a:ea typeface="+mn-ea"/>
                    <a:cs typeface="+mn-cs"/>
                  </a:defRPr>
                </a:pPr>
                <a:r>
                  <a:rPr lang="en-US"/>
                  <a:t>Branch</a:t>
                </a:r>
              </a:p>
            </c:rich>
          </c:tx>
          <c:layout>
            <c:manualLayout>
              <c:xMode val="edge"/>
              <c:yMode val="edge"/>
              <c:x val="2.2222222222222223E-2"/>
              <c:y val="0.4293672260163163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rgbClr val="E9713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37735"/>
        <c:crosses val="autoZero"/>
        <c:auto val="1"/>
        <c:lblAlgn val="ctr"/>
        <c:lblOffset val="100"/>
        <c:noMultiLvlLbl val="0"/>
      </c:catAx>
      <c:valAx>
        <c:axId val="385737735"/>
        <c:scaling>
          <c:orientation val="minMax"/>
        </c:scaling>
        <c:delete val="0"/>
        <c:axPos val="b"/>
        <c:title>
          <c:tx>
            <c:rich>
              <a:bodyPr rot="0" spcFirstLastPara="1" vertOverflow="ellipsis" vert="horz" wrap="square" anchor="ctr" anchorCtr="1"/>
              <a:lstStyle/>
              <a:p>
                <a:pPr>
                  <a:defRPr sz="1200" b="1" i="0" u="none" strike="noStrike" kern="1200" baseline="0">
                    <a:solidFill>
                      <a:srgbClr val="E97132"/>
                    </a:solidFill>
                    <a:latin typeface="+mn-lt"/>
                    <a:ea typeface="+mn-ea"/>
                    <a:cs typeface="+mn-cs"/>
                  </a:defRPr>
                </a:pPr>
                <a:r>
                  <a:rPr lang="en-US"/>
                  <a:t>Student ID</a:t>
                </a:r>
              </a:p>
            </c:rich>
          </c:tx>
          <c:layout>
            <c:manualLayout>
              <c:xMode val="edge"/>
              <c:yMode val="edge"/>
              <c:x val="0.43594329996851583"/>
              <c:y val="0.8916666666666667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E9713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33127"/>
        <c:crosses val="autoZero"/>
        <c:crossBetween val="between"/>
      </c:valAx>
      <c:spPr>
        <a:noFill/>
        <a:ln>
          <a:noFill/>
        </a:ln>
        <a:effectLst/>
      </c:spPr>
    </c:plotArea>
    <c:plotVisOnly val="1"/>
    <c:dispBlanksAs val="gap"/>
    <c:showDLblsOverMax val="0"/>
  </c:chart>
  <c:spPr>
    <a:solidFill>
      <a:srgbClr val="F7EEDD"/>
    </a:solidFill>
    <a:ln w="3810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Table!PivotTable8</c:name>
    <c:fmtId val="4"/>
  </c:pivotSource>
  <c:chart>
    <c:title>
      <c:tx>
        <c:rich>
          <a:bodyPr rot="0" spcFirstLastPara="1" vertOverflow="ellipsis" vert="horz" wrap="square" anchor="ctr" anchorCtr="1"/>
          <a:lstStyle/>
          <a:p>
            <a:pPr>
              <a:defRPr sz="1400" b="1" i="0" u="none" strike="noStrike" kern="1200" spc="0" baseline="0">
                <a:solidFill>
                  <a:srgbClr val="E97132"/>
                </a:solidFill>
                <a:latin typeface="+mn-lt"/>
                <a:ea typeface="+mn-ea"/>
                <a:cs typeface="+mn-cs"/>
              </a:defRPr>
            </a:pPr>
            <a:r>
              <a:rPr lang="en-US"/>
              <a:t>'Student ID' by 'College' and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9713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Table'!$BI$5</c:f>
              <c:strCache>
                <c:ptCount val="1"/>
                <c:pt idx="0">
                  <c:v>Total</c:v>
                </c:pt>
              </c:strCache>
            </c:strRef>
          </c:tx>
          <c:spPr>
            <a:solidFill>
              <a:schemeClr val="accent2"/>
            </a:solidFill>
            <a:ln>
              <a:noFill/>
            </a:ln>
            <a:effectLst/>
          </c:spPr>
          <c:invertIfNegative val="0"/>
          <c:cat>
            <c:multiLvlStrRef>
              <c:f>'Pivot Table'!$BG$6:$BH$26</c:f>
              <c:multiLvlStrCache>
                <c:ptCount val="14"/>
                <c:lvl>
                  <c:pt idx="0">
                    <c:v>ACET</c:v>
                  </c:pt>
                  <c:pt idx="1">
                    <c:v>ACOE</c:v>
                  </c:pt>
                  <c:pt idx="2">
                    <c:v>ACET</c:v>
                  </c:pt>
                  <c:pt idx="3">
                    <c:v>ACOE</c:v>
                  </c:pt>
                  <c:pt idx="4">
                    <c:v>AEC</c:v>
                  </c:pt>
                  <c:pt idx="5">
                    <c:v>AEC</c:v>
                  </c:pt>
                  <c:pt idx="6">
                    <c:v>ACET</c:v>
                  </c:pt>
                  <c:pt idx="7">
                    <c:v>ACOE</c:v>
                  </c:pt>
                  <c:pt idx="8">
                    <c:v>ACET</c:v>
                  </c:pt>
                  <c:pt idx="9">
                    <c:v>ACOE</c:v>
                  </c:pt>
                  <c:pt idx="10">
                    <c:v>AEC</c:v>
                  </c:pt>
                  <c:pt idx="11">
                    <c:v>ACET</c:v>
                  </c:pt>
                  <c:pt idx="12">
                    <c:v>ACOE</c:v>
                  </c:pt>
                  <c:pt idx="13">
                    <c:v>AEC</c:v>
                  </c:pt>
                </c:lvl>
                <c:lvl>
                  <c:pt idx="0">
                    <c:v>AI&amp;ML</c:v>
                  </c:pt>
                  <c:pt idx="2">
                    <c:v>CSE</c:v>
                  </c:pt>
                  <c:pt idx="5">
                    <c:v>CSE(AI&amp;DS)</c:v>
                  </c:pt>
                  <c:pt idx="6">
                    <c:v>DS</c:v>
                  </c:pt>
                  <c:pt idx="8">
                    <c:v>ECE</c:v>
                  </c:pt>
                  <c:pt idx="11">
                    <c:v>IT</c:v>
                  </c:pt>
                </c:lvl>
              </c:multiLvlStrCache>
            </c:multiLvlStrRef>
          </c:cat>
          <c:val>
            <c:numRef>
              <c:f>'Pivot Table'!$BI$6:$BI$26</c:f>
              <c:numCache>
                <c:formatCode>General</c:formatCode>
                <c:ptCount val="14"/>
                <c:pt idx="0">
                  <c:v>43</c:v>
                </c:pt>
                <c:pt idx="1">
                  <c:v>72</c:v>
                </c:pt>
                <c:pt idx="2">
                  <c:v>74</c:v>
                </c:pt>
                <c:pt idx="3">
                  <c:v>102</c:v>
                </c:pt>
                <c:pt idx="4">
                  <c:v>86</c:v>
                </c:pt>
                <c:pt idx="5">
                  <c:v>61</c:v>
                </c:pt>
                <c:pt idx="6">
                  <c:v>27</c:v>
                </c:pt>
                <c:pt idx="7">
                  <c:v>35</c:v>
                </c:pt>
                <c:pt idx="8">
                  <c:v>15</c:v>
                </c:pt>
                <c:pt idx="9">
                  <c:v>28</c:v>
                </c:pt>
                <c:pt idx="10">
                  <c:v>50</c:v>
                </c:pt>
                <c:pt idx="11">
                  <c:v>8</c:v>
                </c:pt>
                <c:pt idx="12">
                  <c:v>40</c:v>
                </c:pt>
                <c:pt idx="13">
                  <c:v>31</c:v>
                </c:pt>
              </c:numCache>
            </c:numRef>
          </c:val>
          <c:extLst>
            <c:ext xmlns:c16="http://schemas.microsoft.com/office/drawing/2014/chart" uri="{C3380CC4-5D6E-409C-BE32-E72D297353CC}">
              <c16:uniqueId val="{00000000-389B-4C44-B5AE-92EB7250D5AD}"/>
            </c:ext>
          </c:extLst>
        </c:ser>
        <c:dLbls>
          <c:showLegendKey val="0"/>
          <c:showVal val="0"/>
          <c:showCatName val="0"/>
          <c:showSerName val="0"/>
          <c:showPercent val="0"/>
          <c:showBubbleSize val="0"/>
        </c:dLbls>
        <c:gapWidth val="33"/>
        <c:overlap val="-30"/>
        <c:axId val="974117383"/>
        <c:axId val="1001908743"/>
      </c:barChart>
      <c:catAx>
        <c:axId val="974117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01908743"/>
        <c:crosses val="autoZero"/>
        <c:auto val="1"/>
        <c:lblAlgn val="ctr"/>
        <c:lblOffset val="100"/>
        <c:noMultiLvlLbl val="0"/>
      </c:catAx>
      <c:valAx>
        <c:axId val="1001908743"/>
        <c:scaling>
          <c:orientation val="minMax"/>
        </c:scaling>
        <c:delete val="0"/>
        <c:axPos val="l"/>
        <c:title>
          <c:tx>
            <c:rich>
              <a:bodyPr rot="-5400000" spcFirstLastPara="1" vertOverflow="ellipsis" vert="horz" wrap="square" anchor="ctr" anchorCtr="1"/>
              <a:lstStyle/>
              <a:p>
                <a:pPr>
                  <a:defRPr sz="1200" b="1" i="0" u="none" strike="noStrike" kern="1200" baseline="0">
                    <a:solidFill>
                      <a:srgbClr val="F1A983"/>
                    </a:solidFill>
                    <a:latin typeface="+mn-lt"/>
                    <a:ea typeface="+mn-ea"/>
                    <a:cs typeface="+mn-cs"/>
                  </a:defRPr>
                </a:pPr>
                <a:r>
                  <a:rPr lang="en-US"/>
                  <a:t>Student ID</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F1A983"/>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117383"/>
        <c:crosses val="autoZero"/>
        <c:crossBetween val="between"/>
      </c:valAx>
      <c:spPr>
        <a:noFill/>
        <a:ln>
          <a:noFill/>
        </a:ln>
        <a:effectLst/>
      </c:spPr>
    </c:plotArea>
    <c:plotVisOnly val="1"/>
    <c:dispBlanksAs val="gap"/>
    <c:showDLblsOverMax val="0"/>
  </c:chart>
  <c:spPr>
    <a:solidFill>
      <a:srgbClr val="F7EEDD"/>
    </a:solidFill>
    <a:ln w="349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Table!PivotTable9</c:name>
    <c:fmtId val="5"/>
  </c:pivotSource>
  <c:chart>
    <c:title>
      <c:tx>
        <c:rich>
          <a:bodyPr rot="0" spcFirstLastPara="1" vertOverflow="ellipsis" vert="horz" wrap="square" anchor="ctr" anchorCtr="1"/>
          <a:lstStyle/>
          <a:p>
            <a:pPr>
              <a:defRPr sz="1400" b="1" i="0" u="none" strike="noStrike" kern="1200" spc="0" baseline="0">
                <a:solidFill>
                  <a:srgbClr val="E97132"/>
                </a:solidFill>
                <a:latin typeface="+mn-lt"/>
                <a:ea typeface="+mn-ea"/>
                <a:cs typeface="+mn-cs"/>
              </a:defRPr>
            </a:pPr>
            <a:r>
              <a:rPr lang="en-US"/>
              <a:t>'Badges Count' by 'Branch'</a:t>
            </a:r>
          </a:p>
        </c:rich>
      </c:tx>
      <c:layout>
        <c:manualLayout>
          <c:xMode val="edge"/>
          <c:yMode val="edge"/>
          <c:x val="0.2733877703415778"/>
          <c:y val="1.20481927710843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9713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E5014"/>
          </a:solidFill>
          <a:ln w="19050">
            <a:solidFill>
              <a:schemeClr val="lt1"/>
            </a:solidFill>
          </a:ln>
          <a:effectLst/>
        </c:spPr>
      </c:pivotFmt>
      <c:pivotFmt>
        <c:idx val="2"/>
        <c:spPr>
          <a:solidFill>
            <a:srgbClr val="F1A983"/>
          </a:solidFill>
          <a:ln w="19050">
            <a:solidFill>
              <a:schemeClr val="lt1"/>
            </a:solidFill>
          </a:ln>
          <a:effectLst/>
        </c:spPr>
      </c:pivotFmt>
      <c:pivotFmt>
        <c:idx val="3"/>
        <c:spPr>
          <a:solidFill>
            <a:srgbClr val="E97132"/>
          </a:solidFill>
          <a:ln w="19050">
            <a:solidFill>
              <a:schemeClr val="lt1"/>
            </a:solidFill>
          </a:ln>
          <a:effectLst/>
        </c:spPr>
      </c:pivotFmt>
      <c:pivotFmt>
        <c:idx val="4"/>
        <c:spPr>
          <a:solidFill>
            <a:srgbClr val="F1A983"/>
          </a:solidFill>
          <a:ln w="19050">
            <a:solidFill>
              <a:schemeClr val="lt1"/>
            </a:solidFill>
          </a:ln>
          <a:effectLst/>
        </c:spPr>
      </c:pivotFmt>
      <c:pivotFmt>
        <c:idx val="5"/>
        <c:spPr>
          <a:solidFill>
            <a:srgbClr val="E97132"/>
          </a:solidFill>
          <a:ln w="19050">
            <a:solidFill>
              <a:schemeClr val="lt1"/>
            </a:solidFill>
          </a:ln>
          <a:effectLst/>
        </c:spPr>
      </c:pivotFmt>
      <c:pivotFmt>
        <c:idx val="6"/>
        <c:spPr>
          <a:solidFill>
            <a:srgbClr val="F1A983"/>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F1A983"/>
          </a:solidFill>
          <a:ln w="19050">
            <a:solidFill>
              <a:schemeClr val="lt1"/>
            </a:solidFill>
          </a:ln>
          <a:effectLst/>
        </c:spPr>
      </c:pivotFmt>
      <c:pivotFmt>
        <c:idx val="9"/>
        <c:spPr>
          <a:solidFill>
            <a:srgbClr val="BE5014"/>
          </a:solidFill>
          <a:ln w="19050">
            <a:solidFill>
              <a:schemeClr val="lt1"/>
            </a:solidFill>
          </a:ln>
          <a:effectLst/>
        </c:spPr>
      </c:pivotFmt>
      <c:pivotFmt>
        <c:idx val="10"/>
        <c:spPr>
          <a:solidFill>
            <a:srgbClr val="F1A983"/>
          </a:solidFill>
          <a:ln w="19050">
            <a:solidFill>
              <a:schemeClr val="lt1"/>
            </a:solidFill>
          </a:ln>
          <a:effectLst/>
        </c:spPr>
      </c:pivotFmt>
      <c:pivotFmt>
        <c:idx val="11"/>
        <c:spPr>
          <a:solidFill>
            <a:srgbClr val="E97132"/>
          </a:solidFill>
          <a:ln w="19050">
            <a:solidFill>
              <a:schemeClr val="lt1"/>
            </a:solidFill>
          </a:ln>
          <a:effectLst/>
        </c:spPr>
      </c:pivotFmt>
      <c:pivotFmt>
        <c:idx val="12"/>
        <c:spPr>
          <a:solidFill>
            <a:srgbClr val="F1A983"/>
          </a:solidFill>
          <a:ln w="19050">
            <a:solidFill>
              <a:schemeClr val="lt1"/>
            </a:solidFill>
          </a:ln>
          <a:effectLst/>
        </c:spPr>
      </c:pivotFmt>
      <c:pivotFmt>
        <c:idx val="13"/>
        <c:spPr>
          <a:solidFill>
            <a:srgbClr val="E97132"/>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F1A983"/>
          </a:solidFill>
          <a:ln w="19050">
            <a:solidFill>
              <a:schemeClr val="lt1"/>
            </a:solidFill>
          </a:ln>
          <a:effectLst/>
        </c:spPr>
      </c:pivotFmt>
      <c:pivotFmt>
        <c:idx val="16"/>
        <c:spPr>
          <a:solidFill>
            <a:srgbClr val="BE5014"/>
          </a:solidFill>
          <a:ln w="19050">
            <a:solidFill>
              <a:schemeClr val="lt1"/>
            </a:solidFill>
          </a:ln>
          <a:effectLst/>
        </c:spPr>
      </c:pivotFmt>
      <c:pivotFmt>
        <c:idx val="17"/>
        <c:spPr>
          <a:solidFill>
            <a:srgbClr val="F1A983"/>
          </a:solidFill>
          <a:ln w="19050">
            <a:solidFill>
              <a:schemeClr val="lt1"/>
            </a:solidFill>
          </a:ln>
          <a:effectLst/>
        </c:spPr>
      </c:pivotFmt>
      <c:pivotFmt>
        <c:idx val="18"/>
        <c:spPr>
          <a:solidFill>
            <a:srgbClr val="E97132"/>
          </a:solidFill>
          <a:ln w="19050">
            <a:solidFill>
              <a:schemeClr val="lt1"/>
            </a:solidFill>
          </a:ln>
          <a:effectLst/>
        </c:spPr>
      </c:pivotFmt>
      <c:pivotFmt>
        <c:idx val="19"/>
        <c:spPr>
          <a:solidFill>
            <a:srgbClr val="F1A983"/>
          </a:solidFill>
          <a:ln w="19050">
            <a:solidFill>
              <a:schemeClr val="lt1"/>
            </a:solidFill>
          </a:ln>
          <a:effectLst/>
        </c:spPr>
      </c:pivotFmt>
      <c:pivotFmt>
        <c:idx val="20"/>
        <c:spPr>
          <a:solidFill>
            <a:srgbClr val="E97132"/>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rgbClr val="F1A983"/>
          </a:solidFill>
          <a:ln w="19050">
            <a:solidFill>
              <a:schemeClr val="lt1"/>
            </a:solidFill>
          </a:ln>
          <a:effectLst/>
        </c:spPr>
      </c:pivotFmt>
      <c:pivotFmt>
        <c:idx val="23"/>
        <c:spPr>
          <a:solidFill>
            <a:srgbClr val="BE5014"/>
          </a:solidFill>
          <a:ln w="19050">
            <a:solidFill>
              <a:schemeClr val="lt1"/>
            </a:solidFill>
          </a:ln>
          <a:effectLst/>
        </c:spPr>
      </c:pivotFmt>
      <c:pivotFmt>
        <c:idx val="24"/>
        <c:spPr>
          <a:solidFill>
            <a:srgbClr val="F1A983"/>
          </a:solidFill>
          <a:ln w="19050">
            <a:solidFill>
              <a:schemeClr val="lt1"/>
            </a:solidFill>
          </a:ln>
          <a:effectLst/>
        </c:spPr>
      </c:pivotFmt>
      <c:pivotFmt>
        <c:idx val="25"/>
        <c:spPr>
          <a:solidFill>
            <a:srgbClr val="E97132"/>
          </a:solidFill>
          <a:ln w="19050">
            <a:solidFill>
              <a:schemeClr val="lt1"/>
            </a:solidFill>
          </a:ln>
          <a:effectLst/>
        </c:spPr>
      </c:pivotFmt>
      <c:pivotFmt>
        <c:idx val="26"/>
        <c:spPr>
          <a:solidFill>
            <a:srgbClr val="F1A983"/>
          </a:solidFill>
          <a:ln w="19050">
            <a:solidFill>
              <a:schemeClr val="lt1"/>
            </a:solidFill>
          </a:ln>
          <a:effectLst/>
        </c:spPr>
      </c:pivotFmt>
      <c:pivotFmt>
        <c:idx val="27"/>
        <c:spPr>
          <a:solidFill>
            <a:srgbClr val="E97132"/>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rgbClr val="F1A983"/>
          </a:solidFill>
          <a:ln w="19050">
            <a:solidFill>
              <a:schemeClr val="lt1"/>
            </a:solidFill>
          </a:ln>
          <a:effectLst/>
        </c:spPr>
      </c:pivotFmt>
      <c:pivotFmt>
        <c:idx val="30"/>
        <c:spPr>
          <a:solidFill>
            <a:srgbClr val="BE5014"/>
          </a:solidFill>
          <a:ln w="19050">
            <a:solidFill>
              <a:schemeClr val="lt1"/>
            </a:solidFill>
          </a:ln>
          <a:effectLst/>
        </c:spPr>
      </c:pivotFmt>
      <c:pivotFmt>
        <c:idx val="31"/>
        <c:spPr>
          <a:solidFill>
            <a:srgbClr val="F1A983"/>
          </a:solidFill>
          <a:ln w="19050">
            <a:solidFill>
              <a:schemeClr val="lt1"/>
            </a:solidFill>
          </a:ln>
          <a:effectLst/>
        </c:spPr>
      </c:pivotFmt>
      <c:pivotFmt>
        <c:idx val="32"/>
        <c:spPr>
          <a:solidFill>
            <a:srgbClr val="E97132"/>
          </a:solidFill>
          <a:ln w="19050">
            <a:solidFill>
              <a:schemeClr val="lt1"/>
            </a:solidFill>
          </a:ln>
          <a:effectLst/>
        </c:spPr>
      </c:pivotFmt>
      <c:pivotFmt>
        <c:idx val="33"/>
        <c:spPr>
          <a:solidFill>
            <a:srgbClr val="F1A983"/>
          </a:solidFill>
          <a:ln w="19050">
            <a:solidFill>
              <a:schemeClr val="lt1"/>
            </a:solidFill>
          </a:ln>
          <a:effectLst/>
        </c:spPr>
      </c:pivotFmt>
      <c:pivotFmt>
        <c:idx val="34"/>
        <c:spPr>
          <a:solidFill>
            <a:srgbClr val="E97132"/>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spPr>
          <a:solidFill>
            <a:srgbClr val="F1A983"/>
          </a:solidFill>
          <a:ln w="19050">
            <a:solidFill>
              <a:schemeClr val="lt1"/>
            </a:solidFill>
          </a:ln>
          <a:effectLst/>
        </c:spPr>
        <c:dLbl>
          <c:idx val="0"/>
          <c:layout>
            <c:manualLayout>
              <c:x val="0.10812695381467849"/>
              <c:y val="-0.13943550943001254"/>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7"/>
        <c:spPr>
          <a:solidFill>
            <a:srgbClr val="F1A983"/>
          </a:solidFill>
          <a:ln w="19050">
            <a:solidFill>
              <a:schemeClr val="lt1"/>
            </a:solidFill>
          </a:ln>
          <a:effectLst/>
        </c:spPr>
        <c:dLbl>
          <c:idx val="0"/>
          <c:layout>
            <c:manualLayout>
              <c:x val="0.10812695381467849"/>
              <c:y val="-0.13943550943001254"/>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8"/>
        <c:spPr>
          <a:solidFill>
            <a:srgbClr val="F1A983"/>
          </a:solidFill>
          <a:ln w="19050">
            <a:solidFill>
              <a:schemeClr val="lt1"/>
            </a:solidFill>
          </a:ln>
          <a:effectLst/>
        </c:spPr>
        <c:dLbl>
          <c:idx val="0"/>
          <c:layout>
            <c:manualLayout>
              <c:x val="-0.18111264763958648"/>
              <c:y val="9.7604856601008677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9"/>
        <c:spPr>
          <a:solidFill>
            <a:srgbClr val="E97132"/>
          </a:solidFill>
          <a:ln w="19050">
            <a:solidFill>
              <a:schemeClr val="lt1"/>
            </a:solidFill>
          </a:ln>
          <a:effectLst/>
        </c:spPr>
        <c:dLbl>
          <c:idx val="0"/>
          <c:layout>
            <c:manualLayout>
              <c:x val="-0.10272060612394461"/>
              <c:y val="0"/>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rgbClr val="F1A983"/>
          </a:solidFill>
          <a:ln w="19050">
            <a:solidFill>
              <a:schemeClr val="lt1"/>
            </a:solidFill>
          </a:ln>
          <a:effectLst/>
        </c:spPr>
        <c:dLbl>
          <c:idx val="0"/>
          <c:layout>
            <c:manualLayout>
              <c:x val="-8.3798389206375834E-2"/>
              <c:y val="-2.3239251571668753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rgbClr val="E97132"/>
          </a:solidFill>
          <a:ln w="19050">
            <a:solidFill>
              <a:schemeClr val="lt1"/>
            </a:solidFill>
          </a:ln>
          <a:effectLst/>
        </c:spPr>
        <c:dLbl>
          <c:idx val="0"/>
          <c:layout>
            <c:manualLayout>
              <c:x val="-0.11083012766004545"/>
              <c:y val="-0.12549195848701128"/>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spPr>
          <a:solidFill>
            <a:srgbClr val="F1A983"/>
          </a:solidFill>
          <a:ln w="19050">
            <a:solidFill>
              <a:schemeClr val="lt1"/>
            </a:solidFill>
          </a:ln>
          <a:effectLst/>
        </c:spPr>
        <c:dLbl>
          <c:idx val="0"/>
          <c:layout>
            <c:manualLayout>
              <c:x val="0.10812695381467849"/>
              <c:y val="-0.13943550943001254"/>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4"/>
        <c:spPr>
          <a:solidFill>
            <a:srgbClr val="F1A983"/>
          </a:solidFill>
          <a:ln w="19050">
            <a:solidFill>
              <a:schemeClr val="lt1"/>
            </a:solidFill>
          </a:ln>
          <a:effectLst/>
        </c:spPr>
        <c:dLbl>
          <c:idx val="0"/>
          <c:layout>
            <c:manualLayout>
              <c:x val="0.10812695381467849"/>
              <c:y val="-0.13943550943001254"/>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5"/>
        <c:spPr>
          <a:solidFill>
            <a:srgbClr val="F1A983"/>
          </a:solidFill>
          <a:ln w="19050">
            <a:solidFill>
              <a:schemeClr val="lt1"/>
            </a:solidFill>
          </a:ln>
          <a:effectLst/>
        </c:spPr>
        <c:dLbl>
          <c:idx val="0"/>
          <c:layout>
            <c:manualLayout>
              <c:x val="-0.18111264763958648"/>
              <c:y val="9.7604856601008677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6"/>
        <c:spPr>
          <a:solidFill>
            <a:srgbClr val="E97132"/>
          </a:solidFill>
          <a:ln w="19050">
            <a:solidFill>
              <a:schemeClr val="lt1"/>
            </a:solidFill>
          </a:ln>
          <a:effectLst/>
        </c:spPr>
        <c:dLbl>
          <c:idx val="0"/>
          <c:layout>
            <c:manualLayout>
              <c:x val="-0.10272060612394461"/>
              <c:y val="0"/>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7"/>
        <c:spPr>
          <a:solidFill>
            <a:srgbClr val="F1A983"/>
          </a:solidFill>
          <a:ln w="19050">
            <a:solidFill>
              <a:schemeClr val="lt1"/>
            </a:solidFill>
          </a:ln>
          <a:effectLst/>
        </c:spPr>
        <c:dLbl>
          <c:idx val="0"/>
          <c:layout>
            <c:manualLayout>
              <c:x val="-8.3798389206375834E-2"/>
              <c:y val="-2.3239251571668753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spPr>
          <a:solidFill>
            <a:srgbClr val="E97132"/>
          </a:solidFill>
          <a:ln w="19050">
            <a:solidFill>
              <a:schemeClr val="lt1"/>
            </a:solidFill>
          </a:ln>
          <a:effectLst/>
        </c:spPr>
        <c:dLbl>
          <c:idx val="0"/>
          <c:layout>
            <c:manualLayout>
              <c:x val="-0.11083012766004545"/>
              <c:y val="-0.12549195848701128"/>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rgbClr val="F1A983"/>
          </a:solidFill>
          <a:ln w="19050">
            <a:solidFill>
              <a:schemeClr val="lt1"/>
            </a:solidFill>
          </a:ln>
          <a:effectLst/>
        </c:spPr>
        <c:dLbl>
          <c:idx val="0"/>
          <c:layout>
            <c:manualLayout>
              <c:x val="0.10812695381467849"/>
              <c:y val="-0.13943550943001254"/>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1"/>
        <c:spPr>
          <a:solidFill>
            <a:srgbClr val="F1A983"/>
          </a:solidFill>
          <a:ln w="19050">
            <a:solidFill>
              <a:schemeClr val="lt1"/>
            </a:solidFill>
          </a:ln>
          <a:effectLst/>
        </c:spPr>
        <c:dLbl>
          <c:idx val="0"/>
          <c:layout>
            <c:manualLayout>
              <c:x val="0.1501403598315682"/>
              <c:y val="-6.243381981319495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2"/>
        <c:spPr>
          <a:solidFill>
            <a:srgbClr val="F1A983"/>
          </a:solidFill>
          <a:ln w="19050">
            <a:solidFill>
              <a:schemeClr val="lt1"/>
            </a:solidFill>
          </a:ln>
          <a:effectLst/>
        </c:spPr>
        <c:dLbl>
          <c:idx val="0"/>
          <c:layout>
            <c:manualLayout>
              <c:x val="-0.18111264763958648"/>
              <c:y val="9.7604856601008677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3"/>
        <c:spPr>
          <a:solidFill>
            <a:srgbClr val="F1A983"/>
          </a:solidFill>
          <a:ln w="19050">
            <a:solidFill>
              <a:schemeClr val="lt1"/>
            </a:solidFill>
          </a:ln>
          <a:effectLst/>
        </c:spPr>
        <c:dLbl>
          <c:idx val="0"/>
          <c:layout>
            <c:manualLayout>
              <c:x val="-0.18111262340559267"/>
              <c:y val="-1.7897937538463006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4"/>
        <c:spPr>
          <a:solidFill>
            <a:srgbClr val="E97132"/>
          </a:solidFill>
          <a:ln w="19050">
            <a:solidFill>
              <a:schemeClr val="lt1"/>
            </a:solidFill>
          </a:ln>
          <a:effectLst/>
        </c:spPr>
        <c:dLbl>
          <c:idx val="0"/>
          <c:layout>
            <c:manualLayout>
              <c:x val="-0.10272060612394461"/>
              <c:y val="0"/>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5"/>
        <c:spPr>
          <a:solidFill>
            <a:srgbClr val="F1A983"/>
          </a:solidFill>
          <a:ln w="19050">
            <a:solidFill>
              <a:schemeClr val="lt1"/>
            </a:solidFill>
          </a:ln>
          <a:effectLst/>
        </c:spPr>
        <c:dLbl>
          <c:idx val="0"/>
          <c:layout>
            <c:manualLayout>
              <c:x val="-8.3798363886407781E-2"/>
              <c:y val="-0.12224143658157061"/>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Table'!$BS$138</c:f>
              <c:strCache>
                <c:ptCount val="1"/>
                <c:pt idx="0">
                  <c:v>Total</c:v>
                </c:pt>
              </c:strCache>
            </c:strRef>
          </c:tx>
          <c:dPt>
            <c:idx val="0"/>
            <c:bubble3D val="0"/>
            <c:spPr>
              <a:solidFill>
                <a:srgbClr val="F1A983"/>
              </a:solidFill>
              <a:ln w="19050">
                <a:solidFill>
                  <a:schemeClr val="lt1"/>
                </a:solidFill>
              </a:ln>
              <a:effectLst/>
            </c:spPr>
            <c:extLst>
              <c:ext xmlns:c16="http://schemas.microsoft.com/office/drawing/2014/chart" uri="{C3380CC4-5D6E-409C-BE32-E72D297353CC}">
                <c16:uniqueId val="{00000001-57D2-47DE-8D7E-F448F3F046F1}"/>
              </c:ext>
            </c:extLst>
          </c:dPt>
          <c:dPt>
            <c:idx val="1"/>
            <c:bubble3D val="0"/>
            <c:spPr>
              <a:solidFill>
                <a:srgbClr val="F1A983"/>
              </a:solidFill>
              <a:ln w="19050">
                <a:solidFill>
                  <a:schemeClr val="lt1"/>
                </a:solidFill>
              </a:ln>
              <a:effectLst/>
            </c:spPr>
            <c:extLst>
              <c:ext xmlns:c16="http://schemas.microsoft.com/office/drawing/2014/chart" uri="{C3380CC4-5D6E-409C-BE32-E72D297353CC}">
                <c16:uniqueId val="{00000003-57D2-47DE-8D7E-F448F3F046F1}"/>
              </c:ext>
            </c:extLst>
          </c:dPt>
          <c:dPt>
            <c:idx val="2"/>
            <c:bubble3D val="0"/>
            <c:spPr>
              <a:solidFill>
                <a:srgbClr val="F1A983"/>
              </a:solidFill>
              <a:ln w="19050">
                <a:solidFill>
                  <a:schemeClr val="lt1"/>
                </a:solidFill>
              </a:ln>
              <a:effectLst/>
            </c:spPr>
            <c:extLst>
              <c:ext xmlns:c16="http://schemas.microsoft.com/office/drawing/2014/chart" uri="{C3380CC4-5D6E-409C-BE32-E72D297353CC}">
                <c16:uniqueId val="{00000005-57D2-47DE-8D7E-F448F3F046F1}"/>
              </c:ext>
            </c:extLst>
          </c:dPt>
          <c:dPt>
            <c:idx val="3"/>
            <c:bubble3D val="0"/>
            <c:spPr>
              <a:solidFill>
                <a:srgbClr val="F1A983"/>
              </a:solidFill>
              <a:ln w="19050">
                <a:solidFill>
                  <a:schemeClr val="lt1"/>
                </a:solidFill>
              </a:ln>
              <a:effectLst/>
            </c:spPr>
            <c:extLst>
              <c:ext xmlns:c16="http://schemas.microsoft.com/office/drawing/2014/chart" uri="{C3380CC4-5D6E-409C-BE32-E72D297353CC}">
                <c16:uniqueId val="{00000007-57D2-47DE-8D7E-F448F3F046F1}"/>
              </c:ext>
            </c:extLst>
          </c:dPt>
          <c:dPt>
            <c:idx val="4"/>
            <c:bubble3D val="0"/>
            <c:spPr>
              <a:solidFill>
                <a:srgbClr val="E97132"/>
              </a:solidFill>
              <a:ln w="19050">
                <a:solidFill>
                  <a:schemeClr val="lt1"/>
                </a:solidFill>
              </a:ln>
              <a:effectLst/>
            </c:spPr>
            <c:extLst>
              <c:ext xmlns:c16="http://schemas.microsoft.com/office/drawing/2014/chart" uri="{C3380CC4-5D6E-409C-BE32-E72D297353CC}">
                <c16:uniqueId val="{00000009-57D2-47DE-8D7E-F448F3F046F1}"/>
              </c:ext>
            </c:extLst>
          </c:dPt>
          <c:dPt>
            <c:idx val="5"/>
            <c:bubble3D val="0"/>
            <c:spPr>
              <a:solidFill>
                <a:srgbClr val="F1A983"/>
              </a:solidFill>
              <a:ln w="19050">
                <a:solidFill>
                  <a:schemeClr val="lt1"/>
                </a:solidFill>
              </a:ln>
              <a:effectLst/>
            </c:spPr>
            <c:extLst>
              <c:ext xmlns:c16="http://schemas.microsoft.com/office/drawing/2014/chart" uri="{C3380CC4-5D6E-409C-BE32-E72D297353CC}">
                <c16:uniqueId val="{0000000B-57D2-47DE-8D7E-F448F3F046F1}"/>
              </c:ext>
            </c:extLst>
          </c:dPt>
          <c:dLbls>
            <c:dLbl>
              <c:idx val="0"/>
              <c:layout>
                <c:manualLayout>
                  <c:x val="0.10812695381467849"/>
                  <c:y val="-0.1394355094300125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7D2-47DE-8D7E-F448F3F046F1}"/>
                </c:ext>
              </c:extLst>
            </c:dLbl>
            <c:dLbl>
              <c:idx val="1"/>
              <c:layout>
                <c:manualLayout>
                  <c:x val="0.1501403598315682"/>
                  <c:y val="-6.24338198131949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7D2-47DE-8D7E-F448F3F046F1}"/>
                </c:ext>
              </c:extLst>
            </c:dLbl>
            <c:dLbl>
              <c:idx val="2"/>
              <c:layout>
                <c:manualLayout>
                  <c:x val="-0.18111264763958648"/>
                  <c:y val="9.7604856601008677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7D2-47DE-8D7E-F448F3F046F1}"/>
                </c:ext>
              </c:extLst>
            </c:dLbl>
            <c:dLbl>
              <c:idx val="3"/>
              <c:layout>
                <c:manualLayout>
                  <c:x val="-0.18111262340559267"/>
                  <c:y val="-1.789793753846300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7D2-47DE-8D7E-F448F3F046F1}"/>
                </c:ext>
              </c:extLst>
            </c:dLbl>
            <c:dLbl>
              <c:idx val="4"/>
              <c:layout>
                <c:manualLayout>
                  <c:x val="-0.10272060612394461"/>
                  <c:y val="0"/>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7D2-47DE-8D7E-F448F3F046F1}"/>
                </c:ext>
              </c:extLst>
            </c:dLbl>
            <c:dLbl>
              <c:idx val="5"/>
              <c:layout>
                <c:manualLayout>
                  <c:x val="-8.3798363886407781E-2"/>
                  <c:y val="-0.1222414365815706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57D2-47DE-8D7E-F448F3F046F1}"/>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Table'!$BR$139:$BR$145</c:f>
              <c:strCache>
                <c:ptCount val="6"/>
                <c:pt idx="0">
                  <c:v>AI&amp;ML</c:v>
                </c:pt>
                <c:pt idx="1">
                  <c:v>CSE</c:v>
                </c:pt>
                <c:pt idx="2">
                  <c:v>CSE(AI&amp;DS)</c:v>
                </c:pt>
                <c:pt idx="3">
                  <c:v>DS</c:v>
                </c:pt>
                <c:pt idx="4">
                  <c:v>ECE</c:v>
                </c:pt>
                <c:pt idx="5">
                  <c:v>IT</c:v>
                </c:pt>
              </c:strCache>
            </c:strRef>
          </c:cat>
          <c:val>
            <c:numRef>
              <c:f>'Pivot Table'!$BS$139:$BS$145</c:f>
              <c:numCache>
                <c:formatCode>General</c:formatCode>
                <c:ptCount val="6"/>
                <c:pt idx="0">
                  <c:v>308</c:v>
                </c:pt>
                <c:pt idx="1">
                  <c:v>757</c:v>
                </c:pt>
                <c:pt idx="2">
                  <c:v>70</c:v>
                </c:pt>
                <c:pt idx="3">
                  <c:v>170</c:v>
                </c:pt>
                <c:pt idx="4">
                  <c:v>237</c:v>
                </c:pt>
                <c:pt idx="5">
                  <c:v>178</c:v>
                </c:pt>
              </c:numCache>
            </c:numRef>
          </c:val>
          <c:extLst>
            <c:ext xmlns:c16="http://schemas.microsoft.com/office/drawing/2014/chart" uri="{C3380CC4-5D6E-409C-BE32-E72D297353CC}">
              <c16:uniqueId val="{0000000C-57D2-47DE-8D7E-F448F3F046F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7EEDD"/>
    </a:solidFill>
    <a:ln w="349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Problems</a:t>
            </a:r>
            <a:r>
              <a:rPr lang="en-IN" b="1" baseline="0">
                <a:solidFill>
                  <a:schemeClr val="bg1"/>
                </a:solidFill>
              </a:rPr>
              <a:t> Count by College</a:t>
            </a:r>
            <a:endParaRPr lang="en-IN" b="1">
              <a:solidFill>
                <a:schemeClr val="bg1"/>
              </a:solidFill>
            </a:endParaRPr>
          </a:p>
        </c:rich>
      </c:tx>
      <c:overlay val="0"/>
      <c:spPr>
        <a:solidFill>
          <a:schemeClr val="accent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Table'!$CX$130</c:f>
              <c:strCache>
                <c:ptCount val="1"/>
                <c:pt idx="0">
                  <c:v>Sum of CC Problem Count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Table'!$CX$131</c:f>
              <c:strCache>
                <c:ptCount val="1"/>
                <c:pt idx="0">
                  <c:v>Total</c:v>
                </c:pt>
              </c:strCache>
            </c:strRef>
          </c:cat>
          <c:val>
            <c:numRef>
              <c:f>'Pivot Table'!$CX$131</c:f>
              <c:numCache>
                <c:formatCode>General</c:formatCode>
                <c:ptCount val="1"/>
                <c:pt idx="0">
                  <c:v>131570</c:v>
                </c:pt>
              </c:numCache>
            </c:numRef>
          </c:val>
          <c:extLst>
            <c:ext xmlns:c16="http://schemas.microsoft.com/office/drawing/2014/chart" uri="{C3380CC4-5D6E-409C-BE32-E72D297353CC}">
              <c16:uniqueId val="{00000000-CFB2-4E8F-87A2-FDFE91CD78CE}"/>
            </c:ext>
          </c:extLst>
        </c:ser>
        <c:ser>
          <c:idx val="1"/>
          <c:order val="1"/>
          <c:tx>
            <c:strRef>
              <c:f>'Pivot Table'!$CY$130</c:f>
              <c:strCache>
                <c:ptCount val="1"/>
                <c:pt idx="0">
                  <c:v>Sum of GFG 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Table'!$CX$131</c:f>
              <c:strCache>
                <c:ptCount val="1"/>
                <c:pt idx="0">
                  <c:v>Total</c:v>
                </c:pt>
              </c:strCache>
            </c:strRef>
          </c:cat>
          <c:val>
            <c:numRef>
              <c:f>'Pivot Table'!$CY$131</c:f>
              <c:numCache>
                <c:formatCode>General</c:formatCode>
                <c:ptCount val="1"/>
                <c:pt idx="0">
                  <c:v>18616</c:v>
                </c:pt>
              </c:numCache>
            </c:numRef>
          </c:val>
          <c:extLst>
            <c:ext xmlns:c16="http://schemas.microsoft.com/office/drawing/2014/chart" uri="{C3380CC4-5D6E-409C-BE32-E72D297353CC}">
              <c16:uniqueId val="{00000001-CFB2-4E8F-87A2-FDFE91CD78CE}"/>
            </c:ext>
          </c:extLst>
        </c:ser>
        <c:ser>
          <c:idx val="2"/>
          <c:order val="2"/>
          <c:tx>
            <c:strRef>
              <c:f>'Pivot Table'!$CZ$130</c:f>
              <c:strCache>
                <c:ptCount val="1"/>
                <c:pt idx="0">
                  <c:v>Sum of LC Program Count</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Table'!$CX$131</c:f>
              <c:strCache>
                <c:ptCount val="1"/>
                <c:pt idx="0">
                  <c:v>Total</c:v>
                </c:pt>
              </c:strCache>
            </c:strRef>
          </c:cat>
          <c:val>
            <c:numRef>
              <c:f>'Pivot Table'!$CZ$131</c:f>
              <c:numCache>
                <c:formatCode>General</c:formatCode>
                <c:ptCount val="1"/>
                <c:pt idx="0">
                  <c:v>42380</c:v>
                </c:pt>
              </c:numCache>
            </c:numRef>
          </c:val>
          <c:extLst>
            <c:ext xmlns:c16="http://schemas.microsoft.com/office/drawing/2014/chart" uri="{C3380CC4-5D6E-409C-BE32-E72D297353CC}">
              <c16:uniqueId val="{00000002-CFB2-4E8F-87A2-FDFE91CD78CE}"/>
            </c:ext>
          </c:extLst>
        </c:ser>
        <c:dLbls>
          <c:dLblPos val="outEnd"/>
          <c:showLegendKey val="0"/>
          <c:showVal val="1"/>
          <c:showCatName val="0"/>
          <c:showSerName val="0"/>
          <c:showPercent val="0"/>
          <c:showBubbleSize val="0"/>
        </c:dLbls>
        <c:gapWidth val="219"/>
        <c:overlap val="-27"/>
        <c:axId val="1792959760"/>
        <c:axId val="1792951600"/>
      </c:barChart>
      <c:catAx>
        <c:axId val="1792959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51600"/>
        <c:crosses val="autoZero"/>
        <c:auto val="1"/>
        <c:lblAlgn val="ctr"/>
        <c:lblOffset val="100"/>
        <c:noMultiLvlLbl val="0"/>
      </c:catAx>
      <c:valAx>
        <c:axId val="1792951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59760"/>
        <c:crosses val="autoZero"/>
        <c:crossBetween val="between"/>
      </c:valAx>
      <c:spPr>
        <a:noFill/>
        <a:ln>
          <a:noFill/>
        </a:ln>
        <a:effectLst/>
      </c:spPr>
    </c:plotArea>
    <c:legend>
      <c:legendPos val="r"/>
      <c:overlay val="0"/>
      <c:spPr>
        <a:solidFill>
          <a:schemeClr val="accent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EEDD"/>
    </a:solidFill>
    <a:ln w="317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Certificates</a:t>
            </a:r>
            <a:r>
              <a:rPr lang="en-US" b="1" baseline="0">
                <a:solidFill>
                  <a:schemeClr val="accent2">
                    <a:lumMod val="75000"/>
                  </a:schemeClr>
                </a:solidFill>
              </a:rPr>
              <a:t> Count by Branch</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7"/>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4"/>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9"/>
        <c:spPr>
          <a:solidFill>
            <a:schemeClr val="accent2">
              <a:lumMod val="40000"/>
              <a:lumOff val="60000"/>
            </a:schemeClr>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1"/>
        <c:spPr>
          <a:solidFill>
            <a:schemeClr val="accent2">
              <a:lumMod val="60000"/>
              <a:lumOff val="40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2">
              <a:lumMod val="75000"/>
            </a:schemeClr>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accent2">
              <a:lumMod val="75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spPr>
          <a:solidFill>
            <a:schemeClr val="accent2">
              <a:lumMod val="40000"/>
              <a:lumOff val="60000"/>
            </a:schemeClr>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8"/>
        <c:spPr>
          <a:solidFill>
            <a:schemeClr val="accent2">
              <a:lumMod val="60000"/>
              <a:lumOff val="40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2">
              <a:lumMod val="75000"/>
            </a:schemeClr>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0"/>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spPr>
          <a:solidFill>
            <a:schemeClr val="accent2">
              <a:lumMod val="75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spPr>
          <a:solidFill>
            <a:schemeClr val="accent2">
              <a:lumMod val="40000"/>
              <a:lumOff val="60000"/>
            </a:schemeClr>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45"/>
        <c:spPr>
          <a:solidFill>
            <a:schemeClr val="accent2">
              <a:lumMod val="60000"/>
              <a:lumOff val="40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2">
              <a:lumMod val="75000"/>
            </a:schemeClr>
          </a:solidFill>
          <a:ln w="25400">
            <a:solidFill>
              <a:schemeClr val="lt1"/>
            </a:solidFill>
          </a:ln>
          <a:effectLst/>
          <a:sp3d contourW="25400">
            <a:contourClr>
              <a:schemeClr val="lt1"/>
            </a:contourClr>
          </a:sp3d>
        </c:spPr>
        <c:dLbl>
          <c:idx val="0"/>
          <c:layout>
            <c:manualLayout>
              <c:x val="-1.8251968503937007E-2"/>
              <c:y val="-9.5828594342373868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7"/>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spPr>
          <a:solidFill>
            <a:schemeClr val="accent2">
              <a:lumMod val="75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0"/>
        <c:spPr>
          <a:solidFill>
            <a:schemeClr val="accent2">
              <a:lumMod val="40000"/>
              <a:lumOff val="60000"/>
            </a:schemeClr>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endParaRPr lang="en-US" b="1" baseline="0">
                  <a:solidFill>
                    <a:schemeClr val="bg1"/>
                  </a:solidFill>
                </a:endParaRPr>
              </a:p>
              <a:p>
                <a:pPr>
                  <a:defRPr sz="900" b="0" i="0" u="none" strike="noStrike" kern="1200" baseline="0">
                    <a:solidFill>
                      <a:schemeClr val="tx1">
                        <a:lumMod val="75000"/>
                        <a:lumOff val="25000"/>
                      </a:schemeClr>
                    </a:solidFill>
                    <a:latin typeface="+mn-lt"/>
                    <a:ea typeface="+mn-ea"/>
                    <a:cs typeface="+mn-cs"/>
                  </a:defRPr>
                </a:pPr>
                <a:fld id="{7D061D6E-9E3B-4A47-82B9-10CD2295450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2"/>
        <c:spPr>
          <a:solidFill>
            <a:schemeClr val="accent2">
              <a:lumMod val="60000"/>
              <a:lumOff val="40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3"/>
        <c:spPr>
          <a:solidFill>
            <a:schemeClr val="accent2">
              <a:lumMod val="75000"/>
            </a:schemeClr>
          </a:solidFill>
          <a:ln w="25400">
            <a:solidFill>
              <a:schemeClr val="lt1"/>
            </a:solidFill>
          </a:ln>
          <a:effectLst/>
          <a:sp3d contourW="25400">
            <a:contourClr>
              <a:schemeClr val="lt1"/>
            </a:contourClr>
          </a:sp3d>
        </c:spPr>
        <c:dLbl>
          <c:idx val="0"/>
          <c:layout>
            <c:manualLayout>
              <c:x val="-1.8251945313830259E-2"/>
              <c:y val="-0.104059892973263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4"/>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5"/>
        <c:spPr>
          <a:solidFill>
            <a:schemeClr val="accent2">
              <a:lumMod val="75000"/>
            </a:schemeClr>
          </a:solidFill>
          <a:ln w="25400">
            <a:solidFill>
              <a:schemeClr val="lt1"/>
            </a:solidFill>
          </a:ln>
          <a:effectLst/>
          <a:sp3d contourW="25400">
            <a:contourClr>
              <a:schemeClr val="lt1"/>
            </a:contourClr>
          </a:sp3d>
        </c:spPr>
        <c:dLbl>
          <c:idx val="0"/>
          <c:layout>
            <c:manualLayout>
              <c:x val="-1.5822211859901871E-2"/>
              <c:y val="-2.694399552008234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7"/>
        <c:spPr>
          <a:solidFill>
            <a:schemeClr val="accent2">
              <a:lumMod val="40000"/>
              <a:lumOff val="60000"/>
            </a:schemeClr>
          </a:solidFill>
          <a:ln w="25400">
            <a:solidFill>
              <a:schemeClr val="lt1"/>
            </a:solidFill>
          </a:ln>
          <a:effectLst/>
          <a:sp3d contourW="25400">
            <a:contourClr>
              <a:schemeClr val="lt1"/>
            </a:contourClr>
          </a:sp3d>
        </c:spPr>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
        <c:idx val="58"/>
        <c:spPr>
          <a:solidFill>
            <a:schemeClr val="accent1"/>
          </a:solidFill>
          <a:ln w="25400">
            <a:solidFill>
              <a:schemeClr val="lt1"/>
            </a:solidFill>
          </a:ln>
          <a:effectLst/>
          <a:sp3d contourW="25400">
            <a:contourClr>
              <a:schemeClr val="lt1"/>
            </a:contourClr>
          </a:sp3d>
        </c:spPr>
        <c:dLbl>
          <c:idx val="0"/>
          <c:layout>
            <c:manualLayout>
              <c:x val="8.4518153980752408E-2"/>
              <c:y val="-2.541411490230387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BEEF8B-98F5-4D6A-A26B-31F7048C7182}" type="CATEGORYNAME">
                  <a:rPr lang="en-US" b="1">
                    <a:solidFill>
                      <a:schemeClr val="bg1"/>
                    </a:solidFill>
                  </a:rPr>
                  <a:pPr>
                    <a:defRPr/>
                  </a:pPr>
                  <a:t>[CATEGORY NAME]</a:t>
                </a:fld>
                <a:endParaRPr lang="en-US" b="1" baseline="0">
                  <a:solidFill>
                    <a:schemeClr val="bg1"/>
                  </a:solidFill>
                </a:endParaRPr>
              </a:p>
              <a:p>
                <a:pPr>
                  <a:defRPr/>
                </a:pPr>
                <a:fld id="{7D061D6E-9E3B-4A47-82B9-10CD2295450C}" type="VALUE">
                  <a:rPr lang="en-US" b="1">
                    <a:solidFill>
                      <a:schemeClr val="bg1"/>
                    </a:solidFill>
                  </a:rPr>
                  <a:pPr>
                    <a:defRPr/>
                  </a:pPr>
                  <a:t>[VALUE]</a:t>
                </a:fld>
                <a:endParaRPr lang="en-US"/>
              </a:p>
            </c:rich>
          </c:tx>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59"/>
        <c:spPr>
          <a:solidFill>
            <a:schemeClr val="accent2">
              <a:lumMod val="60000"/>
              <a:lumOff val="40000"/>
            </a:schemeClr>
          </a:solidFill>
          <a:ln w="25400">
            <a:solidFill>
              <a:schemeClr val="lt1"/>
            </a:solidFill>
          </a:ln>
          <a:effectLst/>
          <a:sp3d contourW="25400">
            <a:contourClr>
              <a:schemeClr val="lt1"/>
            </a:contourClr>
          </a:sp3d>
        </c:spPr>
        <c:dLbl>
          <c:idx val="0"/>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0"/>
        <c:spPr>
          <a:solidFill>
            <a:schemeClr val="accent2">
              <a:lumMod val="75000"/>
            </a:schemeClr>
          </a:solidFill>
          <a:ln w="25400">
            <a:solidFill>
              <a:schemeClr val="lt1"/>
            </a:solidFill>
          </a:ln>
          <a:effectLst/>
          <a:sp3d contourW="25400">
            <a:contourClr>
              <a:schemeClr val="lt1"/>
            </a:contourClr>
          </a:sp3d>
        </c:spPr>
        <c:dLbl>
          <c:idx val="0"/>
          <c:layout>
            <c:manualLayout>
              <c:x val="-1.8251945313830259E-2"/>
              <c:y val="-0.104059892973263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1"/>
        <c:spPr>
          <a:solidFill>
            <a:schemeClr val="accent2">
              <a:lumMod val="60000"/>
              <a:lumOff val="40000"/>
            </a:schemeClr>
          </a:solidFill>
          <a:ln w="25400">
            <a:solidFill>
              <a:schemeClr val="lt1"/>
            </a:solidFill>
          </a:ln>
          <a:effectLst/>
          <a:sp3d contourW="25400">
            <a:contourClr>
              <a:schemeClr val="lt1"/>
            </a:contourClr>
          </a:sp3d>
        </c:spPr>
        <c:dLbl>
          <c:idx val="0"/>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2"/>
        <c:spPr>
          <a:solidFill>
            <a:schemeClr val="accent2">
              <a:lumMod val="75000"/>
            </a:schemeClr>
          </a:solidFill>
          <a:ln w="25400">
            <a:solidFill>
              <a:schemeClr val="lt1"/>
            </a:solidFill>
          </a:ln>
          <a:effectLst/>
          <a:sp3d contourW="25400">
            <a:contourClr>
              <a:schemeClr val="lt1"/>
            </a:contourClr>
          </a:sp3d>
        </c:spPr>
        <c:dLbl>
          <c:idx val="0"/>
          <c:layout>
            <c:manualLayout>
              <c:x val="-1.5822211859901871E-2"/>
              <c:y val="-2.694399552008234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Table'!$EB$128</c:f>
              <c:strCache>
                <c:ptCount val="1"/>
                <c:pt idx="0">
                  <c:v>Total</c:v>
                </c:pt>
              </c:strCache>
            </c:strRef>
          </c:tx>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DA-4E09-BE78-31E553659E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DA-4E09-BE78-31E553659E2B}"/>
              </c:ext>
            </c:extLst>
          </c:dPt>
          <c:dPt>
            <c:idx val="2"/>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DA-4E09-BE78-31E553659E2B}"/>
              </c:ext>
            </c:extLst>
          </c:dPt>
          <c:dPt>
            <c:idx val="3"/>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DA-4E09-BE78-31E553659E2B}"/>
              </c:ext>
            </c:extLst>
          </c:dPt>
          <c:dPt>
            <c:idx val="4"/>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DA-4E09-BE78-31E553659E2B}"/>
              </c:ext>
            </c:extLst>
          </c:dPt>
          <c:dPt>
            <c:idx val="5"/>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76DA-4E09-BE78-31E553659E2B}"/>
              </c:ext>
            </c:extLst>
          </c:dPt>
          <c:dLbls>
            <c:dLbl>
              <c:idx val="0"/>
              <c:layout>
                <c:manualLayout>
                  <c:x val="8.4081364829396328E-3"/>
                  <c:y val="-1.2502187226596675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6DA-4E09-BE78-31E553659E2B}"/>
                </c:ext>
              </c:extLst>
            </c:dLbl>
            <c:dLbl>
              <c:idx val="1"/>
              <c:layout>
                <c:manualLayout>
                  <c:x val="8.4518153980752408E-2"/>
                  <c:y val="-2.5414114902303879E-2"/>
                </c:manualLayout>
              </c:layout>
              <c:tx>
                <c:rich>
                  <a:bodyPr/>
                  <a:lstStyle/>
                  <a:p>
                    <a:fld id="{03BEEF8B-98F5-4D6A-A26B-31F7048C7182}" type="CATEGORYNAME">
                      <a:rPr lang="en-US" b="1">
                        <a:solidFill>
                          <a:schemeClr val="bg1"/>
                        </a:solidFill>
                      </a:rPr>
                      <a:pPr/>
                      <a:t>[CATEGORY NAME]</a:t>
                    </a:fld>
                    <a:endParaRPr lang="en-US" b="1" baseline="0">
                      <a:solidFill>
                        <a:schemeClr val="bg1"/>
                      </a:solidFill>
                    </a:endParaRPr>
                  </a:p>
                  <a:p>
                    <a:fld id="{7D061D6E-9E3B-4A47-82B9-10CD2295450C}" type="VALUE">
                      <a:rPr lang="en-US" b="1">
                        <a:solidFill>
                          <a:schemeClr val="bg1"/>
                        </a:solidFill>
                      </a:rPr>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76DA-4E09-BE78-31E553659E2B}"/>
                </c:ext>
              </c:extLst>
            </c:dLbl>
            <c:dLbl>
              <c:idx val="2"/>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DA-4E09-BE78-31E553659E2B}"/>
                </c:ext>
              </c:extLst>
            </c:dLbl>
            <c:dLbl>
              <c:idx val="3"/>
              <c:layout>
                <c:manualLayout>
                  <c:x val="-1.8251945313830259E-2"/>
                  <c:y val="-0.104059892973263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76DA-4E09-BE78-31E553659E2B}"/>
                </c:ext>
              </c:extLst>
            </c:dLbl>
            <c:dLbl>
              <c:idx val="4"/>
              <c:layout>
                <c:manualLayout>
                  <c:x val="-4.9185258092738406E-3"/>
                  <c:y val="-0.10701990376202974"/>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76DA-4E09-BE78-31E553659E2B}"/>
                </c:ext>
              </c:extLst>
            </c:dLbl>
            <c:dLbl>
              <c:idx val="5"/>
              <c:layout>
                <c:manualLayout>
                  <c:x val="-1.5822211859901871E-2"/>
                  <c:y val="-2.694399552008234E-2"/>
                </c:manualLayout>
              </c:layout>
              <c:spPr>
                <a:solidFill>
                  <a:schemeClr val="accent2">
                    <a:lumMod val="75000"/>
                  </a:schemeClr>
                </a:solidFill>
                <a:ln>
                  <a:noFill/>
                </a:ln>
                <a:effectLst/>
              </c:spPr>
              <c:txPr>
                <a:bodyPr rot="0" spcFirstLastPara="1" vertOverflow="ellipsis" vert="horz" wrap="square" lIns="38100" tIns="19050" rIns="38100" bIns="19050" anchor="ctr" anchorCtr="0">
                  <a:spAutoFit/>
                </a:bodyPr>
                <a:lstStyle/>
                <a:p>
                  <a:pPr algn="ctr" rtl="0">
                    <a:defRPr lang="en-US" sz="900" b="1" i="0" u="none" strike="noStrike" kern="1200" baseline="0">
                      <a:solidFill>
                        <a:schemeClr val="bg1"/>
                      </a:solidFill>
                      <a:latin typeface="+mn-lt"/>
                      <a:ea typeface="+mn-ea"/>
                      <a:cs typeface="+mn-cs"/>
                    </a:defRPr>
                  </a:pPr>
                  <a:endParaRPr lang="en-US"/>
                </a:p>
              </c:txPr>
              <c:showLegendKey val="1"/>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B-76DA-4E09-BE78-31E553659E2B}"/>
                </c:ext>
              </c:extLst>
            </c:dLbl>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Table'!$EA$129:$EA$135</c:f>
              <c:strCache>
                <c:ptCount val="6"/>
                <c:pt idx="0">
                  <c:v>AI&amp;ML</c:v>
                </c:pt>
                <c:pt idx="1">
                  <c:v>CSE</c:v>
                </c:pt>
                <c:pt idx="2">
                  <c:v>CSE(AI&amp;DS)</c:v>
                </c:pt>
                <c:pt idx="3">
                  <c:v>DS</c:v>
                </c:pt>
                <c:pt idx="4">
                  <c:v>ECE</c:v>
                </c:pt>
                <c:pt idx="5">
                  <c:v>IT</c:v>
                </c:pt>
              </c:strCache>
            </c:strRef>
          </c:cat>
          <c:val>
            <c:numRef>
              <c:f>'Pivot Table'!$EB$129:$EB$135</c:f>
              <c:numCache>
                <c:formatCode>General</c:formatCode>
                <c:ptCount val="6"/>
                <c:pt idx="0">
                  <c:v>110</c:v>
                </c:pt>
                <c:pt idx="1">
                  <c:v>337</c:v>
                </c:pt>
                <c:pt idx="2">
                  <c:v>24</c:v>
                </c:pt>
                <c:pt idx="3">
                  <c:v>60</c:v>
                </c:pt>
                <c:pt idx="4">
                  <c:v>84</c:v>
                </c:pt>
                <c:pt idx="5">
                  <c:v>67</c:v>
                </c:pt>
              </c:numCache>
            </c:numRef>
          </c:val>
          <c:extLst>
            <c:ext xmlns:c16="http://schemas.microsoft.com/office/drawing/2014/chart" uri="{C3380CC4-5D6E-409C-BE32-E72D297353CC}">
              <c16:uniqueId val="{0000000C-76DA-4E09-BE78-31E553659E2B}"/>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accent2">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EEDD"/>
    </a:solidFill>
    <a:ln w="285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0</xdr:colOff>
          <xdr:row>10</xdr:row>
          <xdr:rowOff>167640</xdr:rowOff>
        </xdr:from>
        <xdr:to>
          <xdr:col>18</xdr:col>
          <xdr:colOff>1021080</xdr:colOff>
          <xdr:row>13</xdr:row>
          <xdr:rowOff>7620</xdr:rowOff>
        </xdr:to>
        <xdr:sp macro="" textlink="">
          <xdr:nvSpPr>
            <xdr:cNvPr id="1030" name="ComboBox1"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18</xdr:col>
      <xdr:colOff>1335464</xdr:colOff>
      <xdr:row>3</xdr:row>
      <xdr:rowOff>42421</xdr:rowOff>
    </xdr:from>
    <xdr:to>
      <xdr:col>19</xdr:col>
      <xdr:colOff>1280474</xdr:colOff>
      <xdr:row>18</xdr:row>
      <xdr:rowOff>75415</xdr:rowOff>
    </xdr:to>
    <xdr:graphicFrame macro="">
      <xdr:nvGraphicFramePr>
        <xdr:cNvPr id="2" name="Chart 1">
          <a:extLst>
            <a:ext uri="{FF2B5EF4-FFF2-40B4-BE49-F238E27FC236}">
              <a16:creationId xmlns:a16="http://schemas.microsoft.com/office/drawing/2014/main" id="{820C8844-0CCA-1D3A-2172-193491C81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1303020</xdr:colOff>
          <xdr:row>11</xdr:row>
          <xdr:rowOff>15240</xdr:rowOff>
        </xdr:from>
        <xdr:to>
          <xdr:col>21</xdr:col>
          <xdr:colOff>7620</xdr:colOff>
          <xdr:row>12</xdr:row>
          <xdr:rowOff>152400</xdr:rowOff>
        </xdr:to>
        <xdr:sp macro="" textlink="">
          <xdr:nvSpPr>
            <xdr:cNvPr id="1031" name="ComboBox2"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0</xdr:colOff>
          <xdr:row>191</xdr:row>
          <xdr:rowOff>38100</xdr:rowOff>
        </xdr:from>
        <xdr:to>
          <xdr:col>11</xdr:col>
          <xdr:colOff>906780</xdr:colOff>
          <xdr:row>192</xdr:row>
          <xdr:rowOff>83820</xdr:rowOff>
        </xdr:to>
        <xdr:sp macro="" textlink="">
          <xdr:nvSpPr>
            <xdr:cNvPr id="2049" name="ComboBox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68580</xdr:colOff>
          <xdr:row>5</xdr:row>
          <xdr:rowOff>106680</xdr:rowOff>
        </xdr:from>
        <xdr:to>
          <xdr:col>24</xdr:col>
          <xdr:colOff>7620</xdr:colOff>
          <xdr:row>7</xdr:row>
          <xdr:rowOff>15240</xdr:rowOff>
        </xdr:to>
        <xdr:sp macro="" textlink="">
          <xdr:nvSpPr>
            <xdr:cNvPr id="2050" name="ComboBox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xdr:colOff>
          <xdr:row>9</xdr:row>
          <xdr:rowOff>15240</xdr:rowOff>
        </xdr:from>
        <xdr:to>
          <xdr:col>6</xdr:col>
          <xdr:colOff>312420</xdr:colOff>
          <xdr:row>10</xdr:row>
          <xdr:rowOff>60960</xdr:rowOff>
        </xdr:to>
        <xdr:sp macro="" textlink="">
          <xdr:nvSpPr>
            <xdr:cNvPr id="2051" name="ComboBox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877957</xdr:colOff>
      <xdr:row>649</xdr:row>
      <xdr:rowOff>98563</xdr:rowOff>
    </xdr:from>
    <xdr:to>
      <xdr:col>7</xdr:col>
      <xdr:colOff>1167848</xdr:colOff>
      <xdr:row>664</xdr:row>
      <xdr:rowOff>108502</xdr:rowOff>
    </xdr:to>
    <xdr:graphicFrame macro="">
      <xdr:nvGraphicFramePr>
        <xdr:cNvPr id="2" name="Chart 1">
          <a:extLst>
            <a:ext uri="{FF2B5EF4-FFF2-40B4-BE49-F238E27FC236}">
              <a16:creationId xmlns:a16="http://schemas.microsoft.com/office/drawing/2014/main" id="{55C79B8A-32B3-1F55-135C-27A70421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72</xdr:col>
      <xdr:colOff>0</xdr:colOff>
      <xdr:row>137</xdr:row>
      <xdr:rowOff>0</xdr:rowOff>
    </xdr:from>
    <xdr:to>
      <xdr:col>82</xdr:col>
      <xdr:colOff>438150</xdr:colOff>
      <xdr:row>152</xdr:row>
      <xdr:rowOff>28575</xdr:rowOff>
    </xdr:to>
    <xdr:graphicFrame macro="">
      <xdr:nvGraphicFramePr>
        <xdr:cNvPr id="2100" name="Chart 2099" descr="Chart type: Doughnut. 'Badges Count' by 'Branch'&#10;&#10;Description automatically generated">
          <a:extLst>
            <a:ext uri="{FF2B5EF4-FFF2-40B4-BE49-F238E27FC236}">
              <a16:creationId xmlns:a16="http://schemas.microsoft.com/office/drawing/2014/main" id="{62A08A75-D024-81DE-A811-F1E1E2F96BE5}"/>
            </a:ext>
            <a:ext uri="{147F2762-F138-4A5C-976F-8EAC2B608ADB}">
              <a16:predDERef xmlns:a16="http://schemas.microsoft.com/office/drawing/2014/main" pred="{55C79B8A-32B3-1F55-135C-27A70421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103</xdr:col>
      <xdr:colOff>0</xdr:colOff>
      <xdr:row>141</xdr:row>
      <xdr:rowOff>0</xdr:rowOff>
    </xdr:from>
    <xdr:to>
      <xdr:col>111</xdr:col>
      <xdr:colOff>70701</xdr:colOff>
      <xdr:row>157</xdr:row>
      <xdr:rowOff>134332</xdr:rowOff>
    </xdr:to>
    <xdr:graphicFrame macro="">
      <xdr:nvGraphicFramePr>
        <xdr:cNvPr id="9" name="Chart 8">
          <a:extLst>
            <a:ext uri="{FF2B5EF4-FFF2-40B4-BE49-F238E27FC236}">
              <a16:creationId xmlns:a16="http://schemas.microsoft.com/office/drawing/2014/main" id="{46915107-09DC-439D-B202-D557061B0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0</xdr:row>
      <xdr:rowOff>123825</xdr:rowOff>
    </xdr:from>
    <xdr:to>
      <xdr:col>26</xdr:col>
      <xdr:colOff>19050</xdr:colOff>
      <xdr:row>3</xdr:row>
      <xdr:rowOff>142875</xdr:rowOff>
    </xdr:to>
    <xdr:sp macro="" textlink="">
      <xdr:nvSpPr>
        <xdr:cNvPr id="3077" name="Rectangle: Rounded Corners 1">
          <a:extLst>
            <a:ext uri="{FF2B5EF4-FFF2-40B4-BE49-F238E27FC236}">
              <a16:creationId xmlns:a16="http://schemas.microsoft.com/office/drawing/2014/main" id="{50464FF2-8666-01B8-DD36-ECD037116697}"/>
            </a:ext>
          </a:extLst>
        </xdr:cNvPr>
        <xdr:cNvSpPr/>
      </xdr:nvSpPr>
      <xdr:spPr>
        <a:xfrm>
          <a:off x="104775" y="123825"/>
          <a:ext cx="15268575" cy="561975"/>
        </a:xfrm>
        <a:prstGeom prst="roundRect">
          <a:avLst/>
        </a:prstGeom>
        <a:solidFill>
          <a:srgbClr val="FF7F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105124</xdr:colOff>
      <xdr:row>1</xdr:row>
      <xdr:rowOff>7620</xdr:rowOff>
    </xdr:from>
    <xdr:ext cx="4442460" cy="443391"/>
    <xdr:sp macro="" textlink="">
      <xdr:nvSpPr>
        <xdr:cNvPr id="28" name="TextBox 2">
          <a:extLst>
            <a:ext uri="{FF2B5EF4-FFF2-40B4-BE49-F238E27FC236}">
              <a16:creationId xmlns:a16="http://schemas.microsoft.com/office/drawing/2014/main" id="{4F4ABC35-F1CE-9662-4428-7557FAE6F4C1}"/>
            </a:ext>
          </a:extLst>
        </xdr:cNvPr>
        <xdr:cNvSpPr txBox="1"/>
      </xdr:nvSpPr>
      <xdr:spPr>
        <a:xfrm>
          <a:off x="5623055" y="191551"/>
          <a:ext cx="4442460" cy="443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latin typeface="Baskerville Old Face" panose="02020602080505020303" pitchFamily="18" charset="0"/>
            </a:rPr>
            <a:t>  Student Performance Dashboard</a:t>
          </a:r>
        </a:p>
      </xdr:txBody>
    </xdr:sp>
    <xdr:clientData/>
  </xdr:oneCellAnchor>
  <xdr:twoCellAnchor>
    <xdr:from>
      <xdr:col>0</xdr:col>
      <xdr:colOff>149004</xdr:colOff>
      <xdr:row>4</xdr:row>
      <xdr:rowOff>20652</xdr:rowOff>
    </xdr:from>
    <xdr:to>
      <xdr:col>3</xdr:col>
      <xdr:colOff>265044</xdr:colOff>
      <xdr:row>10</xdr:row>
      <xdr:rowOff>77982</xdr:rowOff>
    </xdr:to>
    <xdr:grpSp>
      <xdr:nvGrpSpPr>
        <xdr:cNvPr id="20" name="Group 19">
          <a:extLst>
            <a:ext uri="{FF2B5EF4-FFF2-40B4-BE49-F238E27FC236}">
              <a16:creationId xmlns:a16="http://schemas.microsoft.com/office/drawing/2014/main" id="{A70FECC5-6EF7-AE56-035F-FFA785D58A3A}"/>
            </a:ext>
          </a:extLst>
        </xdr:cNvPr>
        <xdr:cNvGrpSpPr/>
      </xdr:nvGrpSpPr>
      <xdr:grpSpPr>
        <a:xfrm>
          <a:off x="149004" y="752172"/>
          <a:ext cx="1944840" cy="1154610"/>
          <a:chOff x="137857" y="2174308"/>
          <a:chExt cx="1950023" cy="1290019"/>
        </a:xfrm>
      </xdr:grpSpPr>
      <xdr:grpSp>
        <xdr:nvGrpSpPr>
          <xdr:cNvPr id="15" name="Group 14">
            <a:extLst>
              <a:ext uri="{FF2B5EF4-FFF2-40B4-BE49-F238E27FC236}">
                <a16:creationId xmlns:a16="http://schemas.microsoft.com/office/drawing/2014/main" id="{EAFAB6E5-B7AF-499E-9963-4EAB7C9B7046}"/>
              </a:ext>
            </a:extLst>
          </xdr:cNvPr>
          <xdr:cNvGrpSpPr/>
        </xdr:nvGrpSpPr>
        <xdr:grpSpPr>
          <a:xfrm>
            <a:off x="137857" y="2174308"/>
            <a:ext cx="1950023" cy="1150620"/>
            <a:chOff x="335977" y="3804988"/>
            <a:chExt cx="1950023" cy="1150620"/>
          </a:xfrm>
        </xdr:grpSpPr>
        <xdr:sp macro="" textlink="">
          <xdr:nvSpPr>
            <xdr:cNvPr id="7" name="Rectangle: Rounded Corners 6">
              <a:extLst>
                <a:ext uri="{FF2B5EF4-FFF2-40B4-BE49-F238E27FC236}">
                  <a16:creationId xmlns:a16="http://schemas.microsoft.com/office/drawing/2014/main" id="{93DDC9F2-7B91-0CEF-0E8E-697141A79903}"/>
                </a:ext>
              </a:extLst>
            </xdr:cNvPr>
            <xdr:cNvSpPr/>
          </xdr:nvSpPr>
          <xdr:spPr>
            <a:xfrm>
              <a:off x="335977" y="3804988"/>
              <a:ext cx="1912620" cy="1150620"/>
            </a:xfrm>
            <a:prstGeom prst="roundRect">
              <a:avLst/>
            </a:prstGeom>
            <a:solidFill>
              <a:srgbClr val="DD62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53F57E14-93D3-1A8B-FE0F-737EF4B9ECC3}"/>
                </a:ext>
              </a:extLst>
            </xdr:cNvPr>
            <xdr:cNvSpPr txBox="1"/>
          </xdr:nvSpPr>
          <xdr:spPr>
            <a:xfrm>
              <a:off x="381000" y="3939541"/>
              <a:ext cx="1905000" cy="5019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rgbClr val="8F1E00"/>
                  </a:solidFill>
                  <a:latin typeface="Baskerville Old Face" panose="02020602080505020303" pitchFamily="18" charset="0"/>
                </a:rPr>
                <a:t>Total Badges</a:t>
              </a:r>
            </a:p>
            <a:p>
              <a:r>
                <a:rPr lang="en-US" sz="1400" b="1">
                  <a:solidFill>
                    <a:srgbClr val="8F1E00"/>
                  </a:solidFill>
                  <a:latin typeface="Baskerville Old Face" panose="02020602080505020303" pitchFamily="18" charset="0"/>
                </a:rPr>
                <a:t>Earned</a:t>
              </a:r>
            </a:p>
          </xdr:txBody>
        </xdr:sp>
      </xdr:grpSp>
      <xdr:sp macro="" textlink="'Pivot Table'!X19">
        <xdr:nvSpPr>
          <xdr:cNvPr id="17" name="TextBox 16">
            <a:extLst>
              <a:ext uri="{FF2B5EF4-FFF2-40B4-BE49-F238E27FC236}">
                <a16:creationId xmlns:a16="http://schemas.microsoft.com/office/drawing/2014/main" id="{3E0E3BF2-5880-4DC8-5104-C7B1353D5EE7}"/>
              </a:ext>
            </a:extLst>
          </xdr:cNvPr>
          <xdr:cNvSpPr txBox="1"/>
        </xdr:nvSpPr>
        <xdr:spPr>
          <a:xfrm>
            <a:off x="784860" y="2674620"/>
            <a:ext cx="1224610" cy="789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535B974-BCB6-43E9-AD4B-A2118D56CD28}" type="TxLink">
              <a:rPr lang="en-US" sz="4000" b="0" i="0" u="none" strike="noStrike">
                <a:solidFill>
                  <a:srgbClr val="8F1E00"/>
                </a:solidFill>
                <a:latin typeface="Aptos Narrow"/>
              </a:rPr>
              <a:pPr/>
              <a:t>1720</a:t>
            </a:fld>
            <a:endParaRPr lang="en-US" sz="4000">
              <a:solidFill>
                <a:srgbClr val="8F1E00"/>
              </a:solidFill>
            </a:endParaRPr>
          </a:p>
        </xdr:txBody>
      </xdr:sp>
    </xdr:grpSp>
    <xdr:clientData/>
  </xdr:twoCellAnchor>
  <xdr:twoCellAnchor>
    <xdr:from>
      <xdr:col>0</xdr:col>
      <xdr:colOff>142060</xdr:colOff>
      <xdr:row>9</xdr:row>
      <xdr:rowOff>172567</xdr:rowOff>
    </xdr:from>
    <xdr:to>
      <xdr:col>3</xdr:col>
      <xdr:colOff>225880</xdr:colOff>
      <xdr:row>16</xdr:row>
      <xdr:rowOff>50220</xdr:rowOff>
    </xdr:to>
    <xdr:grpSp>
      <xdr:nvGrpSpPr>
        <xdr:cNvPr id="19" name="Group 18">
          <a:extLst>
            <a:ext uri="{FF2B5EF4-FFF2-40B4-BE49-F238E27FC236}">
              <a16:creationId xmlns:a16="http://schemas.microsoft.com/office/drawing/2014/main" id="{2181ED06-DBC0-5D3A-967B-8CCD000591E4}"/>
            </a:ext>
          </a:extLst>
        </xdr:cNvPr>
        <xdr:cNvGrpSpPr/>
      </xdr:nvGrpSpPr>
      <xdr:grpSpPr>
        <a:xfrm>
          <a:off x="142060" y="1818487"/>
          <a:ext cx="1912620" cy="1157813"/>
          <a:chOff x="152400" y="3627120"/>
          <a:chExt cx="1912620" cy="1162810"/>
        </a:xfrm>
      </xdr:grpSpPr>
      <xdr:grpSp>
        <xdr:nvGrpSpPr>
          <xdr:cNvPr id="16" name="Group 15">
            <a:extLst>
              <a:ext uri="{FF2B5EF4-FFF2-40B4-BE49-F238E27FC236}">
                <a16:creationId xmlns:a16="http://schemas.microsoft.com/office/drawing/2014/main" id="{41133305-C593-441B-2D83-DD0C3797A674}"/>
              </a:ext>
            </a:extLst>
          </xdr:cNvPr>
          <xdr:cNvGrpSpPr/>
        </xdr:nvGrpSpPr>
        <xdr:grpSpPr>
          <a:xfrm>
            <a:off x="152400" y="3627120"/>
            <a:ext cx="1912620" cy="1150620"/>
            <a:chOff x="342900" y="5097780"/>
            <a:chExt cx="1912620" cy="1150620"/>
          </a:xfrm>
        </xdr:grpSpPr>
        <xdr:sp macro="" textlink="">
          <xdr:nvSpPr>
            <xdr:cNvPr id="9" name="Rectangle: Rounded Corners 8">
              <a:extLst>
                <a:ext uri="{FF2B5EF4-FFF2-40B4-BE49-F238E27FC236}">
                  <a16:creationId xmlns:a16="http://schemas.microsoft.com/office/drawing/2014/main" id="{BB8EA6BC-1908-4CDE-B50A-225267BC9C19}"/>
                </a:ext>
              </a:extLst>
            </xdr:cNvPr>
            <xdr:cNvSpPr/>
          </xdr:nvSpPr>
          <xdr:spPr>
            <a:xfrm>
              <a:off x="342900" y="5097780"/>
              <a:ext cx="1912620" cy="1150620"/>
            </a:xfrm>
            <a:prstGeom prst="roundRect">
              <a:avLst/>
            </a:prstGeom>
            <a:solidFill>
              <a:srgbClr val="DD62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BEC751D8-6A7E-4835-0385-6D2C16695529}"/>
                </a:ext>
              </a:extLst>
            </xdr:cNvPr>
            <xdr:cNvSpPr txBox="1"/>
          </xdr:nvSpPr>
          <xdr:spPr>
            <a:xfrm>
              <a:off x="381000" y="5166360"/>
              <a:ext cx="1586042" cy="300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8F1E00"/>
                  </a:solidFill>
                  <a:latin typeface="Baskerville Old Face" panose="02020602080505020303" pitchFamily="18" charset="0"/>
                </a:rPr>
                <a:t>Total</a:t>
              </a:r>
              <a:r>
                <a:rPr lang="en-US" sz="1400" b="1" baseline="0">
                  <a:solidFill>
                    <a:srgbClr val="8F1E00"/>
                  </a:solidFill>
                  <a:latin typeface="Baskerville Old Face" panose="02020602080505020303" pitchFamily="18" charset="0"/>
                </a:rPr>
                <a:t> </a:t>
              </a:r>
              <a:r>
                <a:rPr lang="en-US" sz="1400" b="1">
                  <a:solidFill>
                    <a:srgbClr val="8F1E00"/>
                  </a:solidFill>
                  <a:latin typeface="Baskerville Old Face" panose="02020602080505020303" pitchFamily="18" charset="0"/>
                </a:rPr>
                <a:t>Certifications </a:t>
              </a:r>
            </a:p>
          </xdr:txBody>
        </xdr:sp>
      </xdr:grpSp>
      <xdr:sp macro="" textlink="'Pivot Table'!X20">
        <xdr:nvSpPr>
          <xdr:cNvPr id="18" name="TextBox 17">
            <a:extLst>
              <a:ext uri="{FF2B5EF4-FFF2-40B4-BE49-F238E27FC236}">
                <a16:creationId xmlns:a16="http://schemas.microsoft.com/office/drawing/2014/main" id="{092A4E17-25E5-03EC-45BF-D33C5BAB2BD6}"/>
              </a:ext>
            </a:extLst>
          </xdr:cNvPr>
          <xdr:cNvSpPr txBox="1"/>
        </xdr:nvSpPr>
        <xdr:spPr>
          <a:xfrm>
            <a:off x="1005840" y="4061460"/>
            <a:ext cx="969673" cy="728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4D32C37-0CB2-48D3-A33F-9E93691EF1AA}" type="TxLink">
              <a:rPr lang="en-US" sz="4000" b="0" i="0" u="none" strike="noStrike">
                <a:solidFill>
                  <a:srgbClr val="8F1E00"/>
                </a:solidFill>
                <a:latin typeface="Aptos Narrow"/>
              </a:rPr>
              <a:pPr/>
              <a:t>682</a:t>
            </a:fld>
            <a:endParaRPr lang="en-US" sz="4000">
              <a:solidFill>
                <a:srgbClr val="8F1E00"/>
              </a:solidFill>
            </a:endParaRPr>
          </a:p>
        </xdr:txBody>
      </xdr:sp>
    </xdr:grpSp>
    <xdr:clientData/>
  </xdr:twoCellAnchor>
  <xdr:twoCellAnchor>
    <xdr:from>
      <xdr:col>18</xdr:col>
      <xdr:colOff>428872</xdr:colOff>
      <xdr:row>17</xdr:row>
      <xdr:rowOff>152400</xdr:rowOff>
    </xdr:from>
    <xdr:to>
      <xdr:col>26</xdr:col>
      <xdr:colOff>56656</xdr:colOff>
      <xdr:row>33</xdr:row>
      <xdr:rowOff>104775</xdr:rowOff>
    </xdr:to>
    <xdr:graphicFrame macro="">
      <xdr:nvGraphicFramePr>
        <xdr:cNvPr id="3074" name="Chart 7" descr="Chart type: Pie. 'Student ID' by 'College'&#10;&#10;Description automatically generated">
          <a:extLst>
            <a:ext uri="{FF2B5EF4-FFF2-40B4-BE49-F238E27FC236}">
              <a16:creationId xmlns:a16="http://schemas.microsoft.com/office/drawing/2014/main" id="{D387C390-2B98-4A9F-BF30-CE59BDB22439}"/>
            </a:ext>
            <a:ext uri="{147F2762-F138-4A5C-976F-8EAC2B608ADB}">
              <a16:predDERef xmlns:a16="http://schemas.microsoft.com/office/drawing/2014/main" pred="{2181ED06-DBC0-5D3A-967B-8CCD00059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4</xdr:row>
      <xdr:rowOff>50118</xdr:rowOff>
    </xdr:from>
    <xdr:to>
      <xdr:col>18</xdr:col>
      <xdr:colOff>180975</xdr:colOff>
      <xdr:row>16</xdr:row>
      <xdr:rowOff>142875</xdr:rowOff>
    </xdr:to>
    <xdr:graphicFrame macro="">
      <xdr:nvGraphicFramePr>
        <xdr:cNvPr id="61" name="Chart 5" descr="Chart type: Clustered Bar. 'Student ID' by 'Branch'&#10;&#10;Description automatically generated">
          <a:extLst>
            <a:ext uri="{FF2B5EF4-FFF2-40B4-BE49-F238E27FC236}">
              <a16:creationId xmlns:a16="http://schemas.microsoft.com/office/drawing/2014/main" id="{A634F7DF-ECA0-45A8-8442-3929D3741DA2}"/>
            </a:ext>
            <a:ext uri="{147F2762-F138-4A5C-976F-8EAC2B608ADB}">
              <a16:predDERef xmlns:a16="http://schemas.microsoft.com/office/drawing/2014/main" pred="{D387C390-2B98-4A9F-BF30-CE59BDB22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428625</xdr:colOff>
      <xdr:row>4</xdr:row>
      <xdr:rowOff>76596</xdr:rowOff>
    </xdr:from>
    <xdr:to>
      <xdr:col>26</xdr:col>
      <xdr:colOff>35392</xdr:colOff>
      <xdr:row>16</xdr:row>
      <xdr:rowOff>168467</xdr:rowOff>
    </xdr:to>
    <xdr:graphicFrame macro="">
      <xdr:nvGraphicFramePr>
        <xdr:cNvPr id="51" name="Chart 31" descr="Chart type: Clustered Column. 'Student ID' by 'College' and 'Branch'&#10;&#10;Description automatically generated">
          <a:extLst>
            <a:ext uri="{FF2B5EF4-FFF2-40B4-BE49-F238E27FC236}">
              <a16:creationId xmlns:a16="http://schemas.microsoft.com/office/drawing/2014/main" id="{7F9E5EE8-A807-4AE9-867E-388D55AAF1E3}"/>
            </a:ext>
            <a:ext uri="{147F2762-F138-4A5C-976F-8EAC2B608ADB}">
              <a16:predDERef xmlns:a16="http://schemas.microsoft.com/office/drawing/2014/main" pred="{A634F7DF-ECA0-45A8-8442-3929D3741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323850</xdr:colOff>
      <xdr:row>4</xdr:row>
      <xdr:rowOff>38100</xdr:rowOff>
    </xdr:from>
    <xdr:to>
      <xdr:col>10</xdr:col>
      <xdr:colOff>295275</xdr:colOff>
      <xdr:row>16</xdr:row>
      <xdr:rowOff>104775</xdr:rowOff>
    </xdr:to>
    <xdr:graphicFrame macro="">
      <xdr:nvGraphicFramePr>
        <xdr:cNvPr id="32" name="Chart 35" descr="Chart type: Doughnut. 'Badges Count' by 'Branch'&#10;&#10;Description automatically generated">
          <a:extLst>
            <a:ext uri="{FF2B5EF4-FFF2-40B4-BE49-F238E27FC236}">
              <a16:creationId xmlns:a16="http://schemas.microsoft.com/office/drawing/2014/main" id="{2CCC0BE0-612D-4B05-8DC9-7E56BBBC4213}"/>
            </a:ext>
            <a:ext uri="{147F2762-F138-4A5C-976F-8EAC2B608ADB}">
              <a16:predDERef xmlns:a16="http://schemas.microsoft.com/office/drawing/2014/main" pred="{7F9E5EE8-A807-4AE9-867E-388D55AAF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333682</xdr:colOff>
      <xdr:row>17</xdr:row>
      <xdr:rowOff>72191</xdr:rowOff>
    </xdr:from>
    <xdr:to>
      <xdr:col>10</xdr:col>
      <xdr:colOff>346364</xdr:colOff>
      <xdr:row>33</xdr:row>
      <xdr:rowOff>118753</xdr:rowOff>
    </xdr:to>
    <xdr:graphicFrame macro="">
      <xdr:nvGraphicFramePr>
        <xdr:cNvPr id="45" name="Chart 7">
          <a:extLst>
            <a:ext uri="{FF2B5EF4-FFF2-40B4-BE49-F238E27FC236}">
              <a16:creationId xmlns:a16="http://schemas.microsoft.com/office/drawing/2014/main" id="{DF14492F-C283-40C5-9B08-A6902501D97D}"/>
            </a:ext>
            <a:ext uri="{147F2762-F138-4A5C-976F-8EAC2B608ADB}">
              <a16:predDERef xmlns:a16="http://schemas.microsoft.com/office/drawing/2014/main" pred="{2CCC0BE0-612D-4B05-8DC9-7E56BBBC4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154609</xdr:colOff>
      <xdr:row>16</xdr:row>
      <xdr:rowOff>154609</xdr:rowOff>
    </xdr:from>
    <xdr:to>
      <xdr:col>3</xdr:col>
      <xdr:colOff>150534</xdr:colOff>
      <xdr:row>23</xdr:row>
      <xdr:rowOff>170321</xdr:rowOff>
    </xdr:to>
    <mc:AlternateContent xmlns:mc="http://schemas.openxmlformats.org/markup-compatibility/2006" xmlns:a14="http://schemas.microsoft.com/office/drawing/2010/main">
      <mc:Choice Requires="a14">
        <xdr:graphicFrame macro="">
          <xdr:nvGraphicFramePr>
            <xdr:cNvPr id="11" name="College">
              <a:extLst>
                <a:ext uri="{FF2B5EF4-FFF2-40B4-BE49-F238E27FC236}">
                  <a16:creationId xmlns:a16="http://schemas.microsoft.com/office/drawing/2014/main" id="{E7021F01-55AA-49E3-BD5D-35C951D51577}"/>
                </a:ext>
              </a:extLst>
            </xdr:cNvPr>
            <xdr:cNvGraphicFramePr/>
          </xdr:nvGraphicFramePr>
          <xdr:xfrm>
            <a:off x="0" y="0"/>
            <a:ext cx="0" cy="0"/>
          </xdr:xfrm>
          <a:graphic>
            <a:graphicData uri="http://schemas.microsoft.com/office/drawing/2010/slicer">
              <sle:slicer xmlns:sle="http://schemas.microsoft.com/office/drawing/2010/slicer" name="College"/>
            </a:graphicData>
          </a:graphic>
        </xdr:graphicFrame>
      </mc:Choice>
      <mc:Fallback xmlns="">
        <xdr:sp macro="" textlink="">
          <xdr:nvSpPr>
            <xdr:cNvPr id="0" name=""/>
            <xdr:cNvSpPr>
              <a:spLocks noTextEdit="1"/>
            </xdr:cNvSpPr>
          </xdr:nvSpPr>
          <xdr:spPr>
            <a:xfrm>
              <a:off x="154609" y="3158435"/>
              <a:ext cx="1818099" cy="1329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155406</xdr:colOff>
      <xdr:row>24</xdr:row>
      <xdr:rowOff>45427</xdr:rowOff>
    </xdr:from>
    <xdr:to>
      <xdr:col>3</xdr:col>
      <xdr:colOff>145980</xdr:colOff>
      <xdr:row>35</xdr:row>
      <xdr:rowOff>108272</xdr:rowOff>
    </xdr:to>
    <mc:AlternateContent xmlns:mc="http://schemas.openxmlformats.org/markup-compatibility/2006" xmlns:a14="http://schemas.microsoft.com/office/drawing/2010/main">
      <mc:Choice Requires="a14">
        <xdr:graphicFrame macro="">
          <xdr:nvGraphicFramePr>
            <xdr:cNvPr id="12" name="Branch">
              <a:extLst>
                <a:ext uri="{FF2B5EF4-FFF2-40B4-BE49-F238E27FC236}">
                  <a16:creationId xmlns:a16="http://schemas.microsoft.com/office/drawing/2014/main" id="{C8AB5366-4B5B-44DC-898D-4E045BDDCEA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55406" y="4551166"/>
              <a:ext cx="1812748" cy="2127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534391</xdr:colOff>
      <xdr:row>17</xdr:row>
      <xdr:rowOff>114300</xdr:rowOff>
    </xdr:from>
    <xdr:to>
      <xdr:col>18</xdr:col>
      <xdr:colOff>190500</xdr:colOff>
      <xdr:row>33</xdr:row>
      <xdr:rowOff>114299</xdr:rowOff>
    </xdr:to>
    <xdr:graphicFrame macro="">
      <xdr:nvGraphicFramePr>
        <xdr:cNvPr id="3073" name="Chart 4">
          <a:extLst>
            <a:ext uri="{FF2B5EF4-FFF2-40B4-BE49-F238E27FC236}">
              <a16:creationId xmlns:a16="http://schemas.microsoft.com/office/drawing/2014/main" id="{60000D0F-AAB1-4C5A-8F17-9E77D4DDEF97}"/>
            </a:ext>
            <a:ext uri="{147F2762-F138-4A5C-976F-8EAC2B608ADB}">
              <a16:predDERef xmlns:a16="http://schemas.microsoft.com/office/drawing/2014/main" pred="{C8AB5366-4B5B-44DC-898D-4E045BDDC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236220</xdr:colOff>
          <xdr:row>36</xdr:row>
          <xdr:rowOff>160020</xdr:rowOff>
        </xdr:from>
        <xdr:to>
          <xdr:col>4</xdr:col>
          <xdr:colOff>0</xdr:colOff>
          <xdr:row>38</xdr:row>
          <xdr:rowOff>175260</xdr:rowOff>
        </xdr:to>
        <xdr:sp macro="" textlink="">
          <xdr:nvSpPr>
            <xdr:cNvPr id="3075" name="ComboBox2"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ram Krishna" refreshedDate="45866.423639930559" createdVersion="8" refreshedVersion="8" minRefreshableVersion="3" recordCount="673" xr:uid="{3BE2A046-8E95-4929-8AAE-4EBC15C9F6E9}">
  <cacheSource type="worksheet">
    <worksheetSource ref="A1:Q1048576" sheet="StudentData"/>
  </cacheSource>
  <cacheFields count="15">
    <cacheField name="Student ID" numFmtId="0">
      <sharedItems containsBlank="1" count="673">
        <s v="23A91A0401"/>
        <s v="23A91A0408"/>
        <s v="23A91A0416"/>
        <s v="23A91A0417"/>
        <s v="23A91A0423"/>
        <s v="23A91A0424"/>
        <s v="23A91A0426"/>
        <s v="23A91A0429"/>
        <s v="23A91A0431"/>
        <s v="23A91A0436"/>
        <s v="23A91A0452"/>
        <s v="23A91A0457"/>
        <s v="23A91A0459"/>
        <s v="23A91A0460"/>
        <s v="23A91A0461"/>
        <s v="23A91A0462"/>
        <s v="23A91A0465"/>
        <s v="23A91A0470"/>
        <s v="23A91A0471"/>
        <s v="23A91A0476"/>
        <s v="23A91A0483"/>
        <s v="23A91A0485"/>
        <s v="23A91A0486"/>
        <s v="23A91A0489"/>
        <s v="23A91A0492"/>
        <s v="23A91A04A0"/>
        <s v="23A91A04A3"/>
        <s v="23A91A04D6"/>
        <s v="23A91A04D7"/>
        <s v="23A91A04F0"/>
        <s v="23A91A04G1"/>
        <s v="23A91A04H2"/>
        <s v="23A91A04I1"/>
        <s v="23A91A04I6"/>
        <s v="23A91A04J9"/>
        <s v="23A91A04M1"/>
        <s v="23A91A04N3"/>
        <s v="23A91A04O3"/>
        <s v="23A91A04P5"/>
        <s v="23A91A0501"/>
        <s v="23A91A0502"/>
        <s v="23A91A0504"/>
        <s v="23A91A0506"/>
        <s v="23A91A0507"/>
        <s v="23A91A0509"/>
        <s v="23A91A0510"/>
        <s v="23A91A0512"/>
        <s v="23A91A0515"/>
        <s v="23A91A0517"/>
        <s v="23A91A0519"/>
        <s v="23A91A0522"/>
        <s v="23A91A0524"/>
        <s v="23A91A0525"/>
        <s v="23A91A0526"/>
        <s v="23A91A0529"/>
        <s v="23A91A0532"/>
        <s v="23A91A0534"/>
        <s v="23A91A0536"/>
        <s v="23A91A0539"/>
        <s v="23A91A0545"/>
        <s v="23A91A0546"/>
        <s v="23A91A0549"/>
        <s v="23A91A0554"/>
        <s v="23A91A0556"/>
        <s v="23A91A0559"/>
        <s v="23A91A0560"/>
        <s v="23A91A0561"/>
        <s v="23A91A0562"/>
        <s v="23A91A0565"/>
        <s v="23A91A0566"/>
        <s v="23A91A0572"/>
        <s v="23A91A0576"/>
        <s v="23A91A0577"/>
        <s v="23A91A0578"/>
        <s v="23A91A0579"/>
        <s v="23A91A0581"/>
        <s v="23A91A0582"/>
        <s v="23A91A0585"/>
        <s v="23A91A0594"/>
        <s v="23A91A0595"/>
        <s v="23A91A0598"/>
        <s v="23A91A05A5"/>
        <s v="23A91A05A7"/>
        <s v="23A91A05B1"/>
        <s v="23A91A05B2"/>
        <s v="23A91A05B6"/>
        <s v="23A91A05C0"/>
        <s v="23A91A05C4"/>
        <s v="23A91A05C5"/>
        <s v="23A91A05D6"/>
        <s v="23A91A05D7"/>
        <s v="23A91A05E1"/>
        <s v="23A91A05E4"/>
        <s v="23A91A05E5"/>
        <s v="23A91A05E6"/>
        <s v="23A91A05F3"/>
        <s v="23A91A05F4"/>
        <s v="23A91A05F5"/>
        <s v="23A91A05F8"/>
        <s v="23A91A05G3"/>
        <s v="23A91A05G5"/>
        <s v="23A91A05G7"/>
        <s v="23A91A05G8"/>
        <s v="23A91A05G9"/>
        <s v="23A91A05H2"/>
        <s v="23A91A05H8"/>
        <s v="23A91A05I0"/>
        <s v="23A91A05I3"/>
        <s v="23A91A05I4"/>
        <s v="23A91A05I6"/>
        <s v="23A91A05I8"/>
        <s v="23A91A05J1"/>
        <s v="23A91A05J2"/>
        <s v="23A91A05J8"/>
        <s v="23A91A05J9"/>
        <s v="23A91A05K1"/>
        <s v="23A91A05K2"/>
        <s v="23A91A1205"/>
        <s v="23A91A1209"/>
        <s v="23A91A1211"/>
        <s v="23A91A1214"/>
        <s v="23A91A1216"/>
        <s v="23A91A1220"/>
        <s v="23A91A1225"/>
        <s v="23A91A1226"/>
        <s v="23A91A1228"/>
        <s v="23A91A1229"/>
        <s v="23A91A1231"/>
        <s v="23A91A1234"/>
        <s v="23A91A1235"/>
        <s v="23A91A1237"/>
        <s v="23A91A1239"/>
        <s v="23A91A1252"/>
        <s v="23A91A1253"/>
        <s v="23A91A1258"/>
        <s v="23A91A1267"/>
        <s v="23A91A1268"/>
        <s v="23A91A1269"/>
        <s v="23A91A1292"/>
        <s v="23A91A1293"/>
        <s v="23A91A1294"/>
        <s v="23A91A1295"/>
        <s v="23A91A12A6"/>
        <s v="23A91A12A9"/>
        <s v="23A91A12C1"/>
        <s v="23A91A12C4"/>
        <s v="23A91A12C5"/>
        <s v="23A91A4402"/>
        <s v="23A91A4403"/>
        <s v="23A91A4409"/>
        <s v="23A91A4410"/>
        <s v="23A91A4429"/>
        <s v="23A91A4440"/>
        <s v="23A91A4445"/>
        <s v="23A91A4454"/>
        <s v="23A91A4459"/>
        <s v="23A91A4465"/>
        <s v="23A91A6105"/>
        <s v="23A91A6108"/>
        <s v="23A91A6112"/>
        <s v="23A91A6113"/>
        <s v="23A91A6116"/>
        <s v="23A91A6119"/>
        <s v="23A91A6124"/>
        <s v="23A91A6127"/>
        <s v="23A91A6136"/>
        <s v="23A91A6142"/>
        <s v="23A91A6144"/>
        <s v="23A91A6149"/>
        <s v="23A91A6151"/>
        <s v="23A91A6152"/>
        <s v="23A91A6153"/>
        <s v="23A91A6159"/>
        <s v="23A91A6166"/>
        <s v="23A91A6168"/>
        <s v="23A91A6169"/>
        <s v="23A91A6171"/>
        <s v="23A91A6172"/>
        <s v="23A91A6181"/>
        <s v="23A91A6188"/>
        <s v="23A91A6191"/>
        <s v="23A91A61A0"/>
        <s v="23A91A61A2"/>
        <s v="23A91A61A9"/>
        <s v="23A91A61B3"/>
        <s v="23A91A61B4"/>
        <s v="23A91A61B7"/>
        <s v="23A91A61C0"/>
        <s v="23A91A61C2"/>
        <s v="23A91A61C5"/>
        <s v="23A91A61C7"/>
        <s v="23A91A61C8"/>
        <s v="23A91A61D8"/>
        <s v="23A91A61E2"/>
        <s v="23A91A61E4"/>
        <s v="23A91A61E9"/>
        <s v="23A91A61F2"/>
        <s v="23A91A61F7"/>
        <s v="23A91A61G7"/>
        <s v="23A91A61G9"/>
        <s v="23A91A61H5"/>
        <s v="23A91A61I6"/>
        <s v="23A91A61J3"/>
        <s v="23A91A61J5"/>
        <s v="23A91A61J6"/>
        <s v="23MH1A0408"/>
        <s v="23MH1A0412"/>
        <s v="23MH1A0422"/>
        <s v="23MH1A0424"/>
        <s v="23MH1A0428"/>
        <s v="23MH1A0433"/>
        <s v="23MH1A0435"/>
        <s v="23MH1A0456"/>
        <s v="23MH1A0462"/>
        <s v="23MH1A0465"/>
        <s v="23MH1A0476"/>
        <s v="23MH1A0484"/>
        <s v="23MH1A04A0"/>
        <s v="23MH1A04G2"/>
        <s v="23MH1A04H9"/>
        <s v="23MH1A0510"/>
        <s v="23MH1A0524"/>
        <s v="23MH1A0525"/>
        <s v="23MH1A0549"/>
        <s v="23MH1A0553"/>
        <s v="23MH1A0571"/>
        <s v="23MH1A0585"/>
        <s v="23MH1A0595"/>
        <s v="23MH1A0599"/>
        <s v="23MH1A05C0"/>
        <s v="23MH1A05D8"/>
        <s v="23MH1A05E6"/>
        <s v="23MH1A05E7"/>
        <s v="23MH1A05E9"/>
        <s v="23MH1A05F2"/>
        <s v="23MH1A05F4"/>
        <s v="23MH1A05F5"/>
        <s v="23MH1A05F7"/>
        <s v="23MH1A05F9"/>
        <s v="23MH1A05G0"/>
        <s v="23MH1A05G2"/>
        <s v="23MH1A05G4"/>
        <s v="23MH1A05G5"/>
        <s v="23MH1A05G7"/>
        <s v="23MH1A05H0"/>
        <s v="23MH1A05H2"/>
        <s v="23MH1A05H3"/>
        <s v="23MH1A05H5"/>
        <s v="23MH1A05H7"/>
        <s v="23MH1A05H8"/>
        <s v="23MH1A05I2"/>
        <s v="23MH1A05I3"/>
        <s v="23MH1A05I5"/>
        <s v="23MH1A05I6"/>
        <s v="23MH1A05I7"/>
        <s v="23MH1A05I9"/>
        <s v="23MH1A05J2"/>
        <s v="23MH1A05J4"/>
        <s v="23MH1A05J5"/>
        <s v="23MH1A05J9"/>
        <s v="23MH1A05K1"/>
        <s v="23MH1A05K2"/>
        <s v="23MH1A05K4"/>
        <s v="23MH1A05K5"/>
        <s v="23MH1A05K7"/>
        <s v="23MH1A05L1"/>
        <s v="23MH1A05L2"/>
        <s v="23MH1A05L3"/>
        <s v="23MH1A05L4"/>
        <s v="23MH1A05L8"/>
        <s v="23MH1A05L9"/>
        <s v="23MH1A05M0"/>
        <s v="23MH1A05M1"/>
        <s v="23MH1A05M4"/>
        <s v="23MH1A05M8"/>
        <s v="23MH1A05N0"/>
        <s v="23MH1A05N3"/>
        <s v="23MH1A05N4"/>
        <s v="23MH1A05N5"/>
        <s v="23MH1A05N6"/>
        <s v="23MH1A05N8"/>
        <s v="23MH1A05O0"/>
        <s v="23MH1A05O1"/>
        <s v="23MH1A05O2"/>
        <s v="23MH1A05O3"/>
        <s v="23MH1A05O5"/>
        <s v="23MH1A05O6"/>
        <s v="23MH1A05P3"/>
        <s v="23MH1A05P4"/>
        <s v="23MH1A05P9"/>
        <s v="23MH1A05Q8"/>
        <s v="23MH1A05R1"/>
        <s v="23MH1A05R5"/>
        <s v="23MH1A05S5"/>
        <s v="23MH1A1201"/>
        <s v="23MH1A1220"/>
        <s v="23MH1A1227"/>
        <s v="23MH1A1241"/>
        <s v="23MH1A1242"/>
        <s v="23MH1A1249"/>
        <s v="23MH1A1252"/>
        <s v="23MH1A1254"/>
        <s v="23MH1A4206"/>
        <s v="23MH1A4207"/>
        <s v="23MH1A4209"/>
        <s v="23MH1A4216"/>
        <s v="23MH1A4217"/>
        <s v="23MH1A4218"/>
        <s v="23MH1A4224"/>
        <s v="23MH1A4225"/>
        <s v="23MH1A4226"/>
        <s v="23MH1A4227"/>
        <s v="23MH1A4228"/>
        <s v="23MH1A4229"/>
        <s v="23MH1A4234"/>
        <s v="23MH1A4235"/>
        <s v="23MH1A4236"/>
        <s v="23MH1A4238"/>
        <s v="23MH1A4243"/>
        <s v="23MH1A4244"/>
        <s v="23MH1A4249"/>
        <s v="23MH1A4250"/>
        <s v="23MH1A4255"/>
        <s v="23MH1A4260"/>
        <s v="23MH1A4261"/>
        <s v="23MH1A4265"/>
        <s v="23MH1A4266"/>
        <s v="23MH1A4268"/>
        <s v="23MH1A4269"/>
        <s v="23MH1A4270"/>
        <s v="23MH1A4271"/>
        <s v="23MH1A4273"/>
        <s v="23MH1A4275"/>
        <s v="23MH1A4291"/>
        <s v="23MH1A42A1"/>
        <s v="23MH1A42A4"/>
        <s v="23MH1A42B1"/>
        <s v="23MH1A42B2"/>
        <s v="23MH1A42B9"/>
        <s v="23MH1A42C9"/>
        <s v="23MH1A42D3"/>
        <s v="23MH1A42F8"/>
        <s v="23MH1A42G7"/>
        <s v="23MH1A42I9"/>
        <s v="23MH1A42J0"/>
        <s v="23MH1A4404"/>
        <s v="23MH1A4406"/>
        <s v="23MH1A4409"/>
        <s v="23MH1A4413"/>
        <s v="23MH1A4416"/>
        <s v="23MH1A4420"/>
        <s v="23MH1A4426"/>
        <s v="23MH1A4432"/>
        <s v="23MH1A4433"/>
        <s v="23MH1A4434"/>
        <s v="23MH1A4435"/>
        <s v="23MH1A4453"/>
        <s v="23MH1A4461"/>
        <s v="23MH1A4462"/>
        <s v="23MH1A4463"/>
        <s v="23MH1A4464"/>
        <s v="23MH1A4465"/>
        <s v="23MH1A4901"/>
        <s v="23MH1A4905"/>
        <s v="23MH1A4918"/>
        <s v="23MH1A4930"/>
        <s v="23MH1A4944"/>
        <s v="23MH1A4945"/>
        <s v="23MH1A4946"/>
        <s v="23MH1A4957"/>
        <s v="23MH1A4962"/>
        <s v="23MH1A4963"/>
        <s v="23P31A0428"/>
        <s v="23P31A0435"/>
        <s v="23P31A0437"/>
        <s v="23P31A0446"/>
        <s v="23P31A0449"/>
        <s v="23P31A0467"/>
        <s v="23P31A0476"/>
        <s v="23P31A0486"/>
        <s v="23P31A0491"/>
        <s v="23P31A0496"/>
        <s v="23P31A04B3"/>
        <s v="23P31A04B8"/>
        <s v="23P31A04C4"/>
        <s v="23P31A04C7"/>
        <s v="23P31A04E4"/>
        <s v="23P31A04F8"/>
        <s v="23P31A04I5"/>
        <s v="23P31A04I8"/>
        <s v="23P31A04J0"/>
        <s v="23P31A0501"/>
        <s v="23P31A0502"/>
        <s v="23P31A0503"/>
        <s v="23P31A0504"/>
        <s v="23P31A0505"/>
        <s v="23P31A0506"/>
        <s v="23P31A0507"/>
        <s v="23P31A0508"/>
        <s v="23P31A0509"/>
        <s v="23P31A0511"/>
        <s v="23P31A0513"/>
        <s v="23P31A0514"/>
        <s v="23P31A0516"/>
        <s v="23P31A0517"/>
        <s v="23P31A0519"/>
        <s v="23P31A0520"/>
        <s v="23P31A0521"/>
        <s v="23P31A0524"/>
        <s v="23P31A0526"/>
        <s v="23P31A0527"/>
        <s v="23P31A0528"/>
        <s v="23P31A0529"/>
        <s v="23P31A0530"/>
        <s v="23P31A0531"/>
        <s v="23P31A0532"/>
        <s v="23P31A0534"/>
        <s v="23P31A0537"/>
        <s v="23P31A0538"/>
        <s v="23P31A0539"/>
        <s v="23P31A0540"/>
        <s v="23P31A0543"/>
        <s v="23P31A0544"/>
        <s v="23P31A0545"/>
        <s v="23P31A0547"/>
        <s v="23P31A0548"/>
        <s v="23P31A0549"/>
        <s v="23P31A0552"/>
        <s v="23P31A0556"/>
        <s v="23P31A0557"/>
        <s v="23P31A0560"/>
        <s v="23P31A0561"/>
        <s v="23P31A0562"/>
        <s v="23P31A0563"/>
        <s v="23P31A0564"/>
        <s v="23P31A0565"/>
        <s v="23P31A0567"/>
        <s v="23P31A0568"/>
        <s v="23P31A0569"/>
        <s v="23P31A0575"/>
        <s v="23P31A0577"/>
        <s v="23P31A0578"/>
        <s v="23P31A0581"/>
        <s v="23P31A0582"/>
        <s v="23P31A0583"/>
        <s v="23P31A0584"/>
        <s v="23P31A0586"/>
        <s v="23P31A0587"/>
        <s v="23P31A0588"/>
        <s v="23P31A0597"/>
        <s v="23P31A0599"/>
        <s v="23P31A05A9"/>
        <s v="23P31A05C0"/>
        <s v="23P31A05D3"/>
        <s v="23P31A05D6"/>
        <s v="23P31A05D7"/>
        <s v="23P31A05E4"/>
        <s v="23P31A05E5"/>
        <s v="23P31A05F2"/>
        <s v="23P31A05G5"/>
        <s v="23P31A05H3"/>
        <s v="23P31A05H4"/>
        <s v="23P31A05H6"/>
        <s v="23P31A05H8"/>
        <s v="23P31A05I7"/>
        <s v="23P31A05I9"/>
        <s v="23P31A05K0"/>
        <s v="23P31A05K5"/>
        <s v="23P31A05L9"/>
        <s v="23P31A05M4"/>
        <s v="23P31A05M5"/>
        <s v="23P31A05O1"/>
        <s v="23P31A05O2"/>
        <s v="23P31A05P3"/>
        <s v="23P31A05P4"/>
        <s v="23P31A05R2"/>
        <s v="23P31A1201"/>
        <s v="23P31A1202"/>
        <s v="23P31A1203"/>
        <s v="23P31A1205"/>
        <s v="23P31A1206"/>
        <s v="23P31A1208"/>
        <s v="23P31A1209"/>
        <s v="23P31A1210"/>
        <s v="23P31A1211"/>
        <s v="23P31A1212"/>
        <s v="23P31A1216"/>
        <s v="23P31A1218"/>
        <s v="23P31A1221"/>
        <s v="23P31A1222"/>
        <s v="23P31A1223"/>
        <s v="23P31A1225"/>
        <s v="23P31A1226"/>
        <s v="23P31A1227"/>
        <s v="23P31A1228"/>
        <s v="23P31A1230"/>
        <s v="23P31A1231"/>
        <s v="23P31A1232"/>
        <s v="23P31A1235"/>
        <s v="23P31A1249"/>
        <s v="23P31A1250"/>
        <s v="23P31A1253"/>
        <s v="23P31A1264"/>
        <s v="23P31A1266"/>
        <s v="23P31A1271"/>
        <s v="23P31A1277"/>
        <s v="23P31A1285"/>
        <s v="23P31A1289"/>
        <s v="23P31A1293"/>
        <s v="23P31A12A8"/>
        <s v="23P31A12A9"/>
        <s v="23P31A12B5"/>
        <s v="23P31A12B7"/>
        <s v="23P31A12C5"/>
        <s v="23P31A12D0"/>
        <s v="23P31A4202"/>
        <s v="23P31A4203"/>
        <s v="23P31A4205"/>
        <s v="23P31A4207"/>
        <s v="23P31A4209"/>
        <s v="23P31A4210"/>
        <s v="23P31A4211"/>
        <s v="23P31A4213"/>
        <s v="23P31A4214"/>
        <s v="23P31A4215"/>
        <s v="23P31A4216"/>
        <s v="23P31A4217"/>
        <s v="23P31A4218"/>
        <s v="23P31A4220"/>
        <s v="23P31A4221"/>
        <s v="23P31A4222"/>
        <s v="23P31A4223"/>
        <s v="23P31A4224"/>
        <s v="23P31A4225"/>
        <s v="23P31A4227"/>
        <s v="23P31A4229"/>
        <s v="23P31A4230"/>
        <s v="23P31A4231"/>
        <s v="23P31A4232"/>
        <s v="23P31A4235"/>
        <s v="23P31A4236"/>
        <s v="23P31A4237"/>
        <s v="23P31A4238"/>
        <s v="23P31A4240"/>
        <s v="23P31A4241"/>
        <s v="23P31A4242"/>
        <s v="23P31A4243"/>
        <s v="23P31A4244"/>
        <s v="23P31A4245"/>
        <s v="23P31A4246"/>
        <s v="23P31A4247"/>
        <s v="23P31A4248"/>
        <s v="23P31A4251"/>
        <s v="23P31A4252"/>
        <s v="23P31A4253"/>
        <s v="23P31A4254"/>
        <s v="23P31A4255"/>
        <s v="23P31A4256"/>
        <s v="23P31A4257"/>
        <s v="23P31A4259"/>
        <s v="23P31A4261"/>
        <s v="23P31A4263"/>
        <s v="23P31A4265"/>
        <s v="23P31A4266"/>
        <s v="23P31A4267"/>
        <s v="23P31A4268"/>
        <s v="23P31A4271"/>
        <s v="23P31A4272"/>
        <s v="23P31A4274"/>
        <s v="23P31A4281"/>
        <s v="23P31A4295"/>
        <s v="23P31A42A1"/>
        <s v="23P31A42A8"/>
        <s v="23P31A42C1"/>
        <s v="23P31A42E2"/>
        <s v="23P31A42F6"/>
        <s v="23P31A42G3"/>
        <s v="23P31A4402"/>
        <s v="23P31A4403"/>
        <s v="23P31A4404"/>
        <s v="23P31A4405"/>
        <s v="23P31A4410"/>
        <s v="23P31A4414"/>
        <s v="23P31A4416"/>
        <s v="23P31A4419"/>
        <s v="23P31A4421"/>
        <s v="23P31A4422"/>
        <s v="23P31A4426"/>
        <s v="23P31A4430"/>
        <s v="23P31A4434"/>
        <s v="23P31A4436"/>
        <s v="23P31A4441"/>
        <s v="23P31A4442"/>
        <s v="23P31A4443"/>
        <s v="23P31A4444"/>
        <s v="23P31A4465"/>
        <s v="23P31A4466"/>
        <s v="23P31A4467"/>
        <s v="23P31A4475"/>
        <s v="23P31A4477"/>
        <s v="23P31A4479"/>
        <s v="23P31A4482"/>
        <s v="23P31A4484"/>
        <s v="23P31A4486"/>
        <s v="23P31A4487"/>
        <s v="23P31A4490"/>
        <s v="23P31A4497"/>
        <s v="23P31A4498"/>
        <s v="23P31A44A0"/>
        <s v="23P31A44A3"/>
        <s v="23P31A44A6"/>
        <s v="23P31A44C4"/>
        <s v="24A95A0403"/>
        <s v="24A95A0406"/>
        <s v="24A95A0407"/>
        <s v="24A95A0408"/>
        <s v="24A95A0412"/>
        <s v="24A95A0413"/>
        <s v="24A95A0414"/>
        <s v="24A95A0415"/>
        <s v="24A95A0421"/>
        <s v="24A95A0424"/>
        <s v="24A95A0425"/>
        <s v="24A95A0502"/>
        <s v="24A95A0505"/>
        <s v="24A95A0510"/>
        <s v="24A95A0511"/>
        <s v="24A95A0512"/>
        <s v="24A95A0514"/>
        <s v="24A95A0515"/>
        <s v="24A95A0517"/>
        <s v="24A95A1202"/>
        <s v="24A95A6101"/>
        <s v="24A95A6108"/>
        <s v="24A95A6109"/>
        <s v="24P35A0401"/>
        <s v="24P35A0402"/>
        <s v="24P35A0403"/>
        <s v="24P35A0407"/>
        <s v="24P35A0413"/>
        <s v="24P35A0422"/>
        <s v="24P35A0430"/>
        <s v="24P35A0431"/>
        <s v="24P35A0436"/>
        <s v="24P35A0513"/>
        <s v="24P35A0514"/>
        <s v="24P35A0518"/>
        <s v="24P35A0519"/>
        <s v="24P35A0520"/>
        <s v="24P35A0521"/>
        <s v="24P35A0530"/>
        <s v="24P35A0531"/>
        <s v="24P35A0535"/>
        <s v="24P35A0539"/>
        <s v="24P35A0541"/>
        <s v="24P35A0545"/>
        <s v="24P35A0549"/>
        <s v="24P35A0550"/>
        <s v="24P35A0553"/>
        <s v="24P35A0555"/>
        <s v="24P35A0557"/>
        <s v="24P35A1204"/>
        <s v="24P35A4203"/>
        <s v="24P35A4213"/>
        <s v="24P35A4216"/>
        <s v="24P35A4225"/>
        <s v="24P35A4227"/>
        <s v="24P35A4230"/>
        <s v="24P35A4232"/>
        <s v="24P35A4233"/>
        <s v="24P35A4237"/>
        <s v="24P35A4906"/>
        <m/>
      </sharedItems>
    </cacheField>
    <cacheField name="C Language" numFmtId="0">
      <sharedItems containsString="0" containsBlank="1" containsNumber="1" containsInteger="1" minValue="0" maxValue="5"/>
    </cacheField>
    <cacheField name="Cpp" numFmtId="0">
      <sharedItems containsString="0" containsBlank="1" containsNumber="1" containsInteger="1" minValue="0" maxValue="5"/>
    </cacheField>
    <cacheField name="Java" numFmtId="0">
      <sharedItems containsString="0" containsBlank="1" containsNumber="1" containsInteger="1" minValue="0" maxValue="5"/>
    </cacheField>
    <cacheField name="Python" numFmtId="0">
      <sharedItems containsString="0" containsBlank="1" containsNumber="1" containsInteger="1" minValue="0" maxValue="5"/>
    </cacheField>
    <cacheField name="Sql" numFmtId="0">
      <sharedItems containsString="0" containsBlank="1" containsNumber="1" containsInteger="1" minValue="0" maxValue="5"/>
    </cacheField>
    <cacheField name="Badges Count" numFmtId="0">
      <sharedItems containsString="0" containsBlank="1" containsNumber="1" containsInteger="1" minValue="0" maxValue="6"/>
    </cacheField>
    <cacheField name="Certificate Count" numFmtId="0">
      <sharedItems containsString="0" containsBlank="1" containsNumber="1" containsInteger="1" minValue="0" maxValue="16"/>
    </cacheField>
    <cacheField name="Certifications" numFmtId="0">
      <sharedItems containsBlank="1" count="57" longText="1">
        <s v="Null"/>
        <s v="SQL (Basic),Java (Basic),SQL (Intermediate)"/>
        <s v="SQL (Basic),SQL (Intermediate)"/>
        <s v="SQL (Intermediate),SQL (Basic)"/>
        <s v="SQL (Basic)"/>
        <s v="SQL (Basic),JavaScript (Basic),CSS (Basic)"/>
        <s v="SQL (Basic),Python (Basic),SQL (Intermediate)"/>
        <s v="SQL (Basic),CSS (Basic),JavaScript (Basic)"/>
        <s v="SQL (Intermediate)"/>
        <s v="SQL (Intermediate),SQL (Basic),Python (Basic)"/>
        <s v="SQL (Basic),SQL (Intermediate),SQL (Advanced)"/>
        <s v="SQL (Basic),Python (Basic),SQL (Intermediate),Java (Basic)"/>
        <s v="SQL (Basic),Python (Basic)"/>
        <s v="CSS (Basic),C# (Basic),SQL (Basic),JavaScript (Basic)"/>
        <s v="Java (Basic),SQL (Basic),SQL (Intermediate)"/>
        <s v="SQL (Basic),Problem Solving (Basic),SQL (Intermediate)"/>
        <s v="Python (Basic),SQL (Basic),SQL (Intermediate)"/>
        <s v="SQL (Basic),SQL (Intermediate),Python (Basic)"/>
        <s v="Problem Solving (Basic),Java (Basic),SQL (Basic),SQL (Intermediate)"/>
        <s v="Problem Solving (Basic),SQL (Basic)"/>
        <s v="SQL (Basic),SQL (Intermediate),Problem Solving (Basic)"/>
        <s v="SQL (Basic),SQL (Intermediate),SQL (Advanced),Problem Solving (Basic)"/>
        <s v="SQL (Intermediate),SQL (Basic),Problem Solving (Intermediate)"/>
        <s v="C# (Basic)"/>
        <s v="Java (Basic),SQL (Intermediate)"/>
        <s v="SQL (Basic),Python (Basic),Problem Solving (Basic)"/>
        <s v="Python (Basic)"/>
        <s v="Java (Basic),SQL (Basic),JavaScript (Basic)"/>
        <s v="Python (Basic),Problem Solving (Basic),SQL (Basic),SQL (Intermediate),Java (Basic),SQL (Advanced)"/>
        <s v="Python (Basic),CSS (Basic)"/>
        <s v="Java (Basic)"/>
        <s v="SQL (Basic),SQL (Intermediate),Java (Basic),CSS (Basic)"/>
        <s v="SQL (Basic),Java (Basic),SQL (Intermediate),Python (Basic),SQL (Advanced),Problem Solving (Basic),Problem Solving (Intermediate)"/>
        <s v="C# (Basic),Python (Basic)"/>
        <s v="SQL (Basic),SQL (Intermediate),Java (Basic)"/>
        <s v="Problem Solving (Basic)"/>
        <s v="Java (Basic),Python (Basic),SQL (Basic),SQL (Intermediate)"/>
        <s v="SQL (Basic),Python (Basic),SQL (Intermediate),SQL (Advanced)"/>
        <s v="SQL (Basic),Python (Basic),Java (Basic)"/>
        <s v="SQL (Basic),Java (Basic)"/>
        <s v="SQL (Intermediate),Python (Basic)"/>
        <s v="Java (Basic),SQL (Basic)"/>
        <s v="SQL (Basic),Python (Basic),Java (Basic),SQL (Intermediate)"/>
        <s v="CSS (Basic)"/>
        <s v="SQL (Basic),JavaScript (Basic)"/>
        <s v="Problem Solving (Basic),Problem Solving (Intermediate),JavaScript (Basic),Python (Basic),SQL (Basic)"/>
        <s v="Problem Solving (Basic),Problem Solving (Intermediate),Java (Basic),Python (Basic),JavaScript (Basic),JavaScript (Intermediate),Go (Basic),SQL (Basic),SQL (Intermediate),SQL (Advanced),R (Basic),C# (Basic),Software Engineer Intern,Software Engineer,Rest API (Intermediate),Angular (Basic)"/>
        <s v="Problem Solving (Basic),SQL (Basic),SQL (Intermediate),SQL (Advanced)"/>
        <s v="Python (Basic),Problem Solving (Basic),SQL (Basic),SQL (Intermediate)"/>
        <s v="Python (Basic),SQL (Basic)"/>
        <s v="Python (Basic),SQL (Basic),Problem Solving (Basic),SQL (Intermediate)"/>
        <s v="SQL (Intermediate),SQL (Basic),SQL (Advanced),Java (Basic)"/>
        <s v="SQL (Basic),CSS (Basic)"/>
        <s v="Java (Basic),SQL (Basic),Python (Basic),SQL (Intermediate)"/>
        <s v="Python (Basic),C# (Basic),SQL (Basic),SQL (Intermediate)"/>
        <s v="SQL (Basic),SQL (Intermediate),SQL (Advanced),Java (Basic)"/>
        <m/>
      </sharedItems>
    </cacheField>
    <cacheField name="LC Program Count" numFmtId="0">
      <sharedItems containsString="0" containsBlank="1" containsNumber="1" containsInteger="1" minValue="0" maxValue="677"/>
    </cacheField>
    <cacheField name="LC Rank" numFmtId="0">
      <sharedItems containsString="0" containsBlank="1" containsNumber="1" containsInteger="1" minValue="0" maxValue="5000001"/>
    </cacheField>
    <cacheField name="GFG Count" numFmtId="0">
      <sharedItems containsString="0" containsBlank="1" containsNumber="1" containsInteger="1" minValue="0" maxValue="340"/>
    </cacheField>
    <cacheField name="GFG Overall Coding Score" numFmtId="0">
      <sharedItems containsString="0" containsBlank="1" containsNumber="1" containsInteger="1" minValue="0" maxValue="949"/>
    </cacheField>
    <cacheField name="CC Problem Count" numFmtId="0">
      <sharedItems containsString="0" containsBlank="1" containsNumber="1" containsInteger="1" minValue="0" maxValue="1240"/>
    </cacheField>
    <cacheField name="email" numFmtId="0">
      <sharedItems containsBlank="1"/>
    </cacheField>
  </cacheFields>
  <extLst>
    <ext xmlns:x14="http://schemas.microsoft.com/office/spreadsheetml/2009/9/main" uri="{725AE2AE-9491-48be-B2B4-4EB974FC3084}">
      <x14:pivotCacheDefinition pivotCacheId="4350888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varam Krishna" refreshedDate="45866.468609490737" backgroundQuery="1" createdVersion="8" refreshedVersion="8" minRefreshableVersion="3" recordCount="0" supportSubquery="1" supportAdvancedDrill="1" xr:uid="{14BB25B0-DDD0-46BB-B77F-8536993E7CB7}">
  <cacheSource type="external" connectionId="1"/>
  <cacheFields count="2">
    <cacheField name="[StudentData].[Certifications].[Certifications]" caption="Certifications" numFmtId="0" hierarchy="8" level="1">
      <sharedItems count="56" longText="1">
        <s v="C# (Basic)"/>
        <s v="C# (Basic),Python (Basic)"/>
        <s v="CSS (Basic)"/>
        <s v="CSS (Basic),C# (Basic),SQL (Basic),JavaScript (Basic)"/>
        <s v="Java (Basic)"/>
        <s v="Java (Basic),Python (Basic),SQL (Basic),SQL (Intermediate)"/>
        <s v="Java (Basic),SQL (Basic)"/>
        <s v="Java (Basic),SQL (Basic),JavaScript (Basic)"/>
        <s v="Java (Basic),SQL (Basic),Python (Basic),SQL (Intermediate)"/>
        <s v="Java (Basic),SQL (Basic),SQL (Intermediate)"/>
        <s v="Java (Basic),SQL (Intermediate)"/>
        <s v="Null"/>
        <s v="Problem Solving (Basic)"/>
        <s v="Problem Solving (Basic),Java (Basic),SQL (Basic),SQL (Intermediate)"/>
        <s v="Problem Solving (Basic),Problem Solving (Intermediate),Java (Basic),Python (Basic),JavaScript (Basic),JavaScript (Intermediate),Go (Basic),SQL (Basic),SQL (Intermediate),SQL (Advanced),R (Basic),C# (Basic),Software Engineer Intern,Software Engineer,Rest API (Intermediate),Angular (Basic)"/>
        <s v="Problem Solving (Basic),Problem Solving (Intermediate),JavaScript (Basic),Python (Basic),SQL (Basic)"/>
        <s v="Problem Solving (Basic),SQL (Basic)"/>
        <s v="Problem Solving (Basic),SQL (Basic),SQL (Intermediate),SQL (Advanced)"/>
        <s v="Python (Basic)"/>
        <s v="Python (Basic),C# (Basic),SQL (Basic),SQL (Intermediate)"/>
        <s v="Python (Basic),CSS (Basic)"/>
        <s v="Python (Basic),Problem Solving (Basic),SQL (Basic),SQL (Intermediate)"/>
        <s v="Python (Basic),Problem Solving (Basic),SQL (Basic),SQL (Intermediate),Java (Basic),SQL (Advanced)"/>
        <s v="Python (Basic),SQL (Basic)"/>
        <s v="Python (Basic),SQL (Basic),Problem Solving (Basic),SQL (Intermediate)"/>
        <s v="Python (Basic),SQL (Basic),SQL (Intermediate)"/>
        <s v="SQL (Basic)"/>
        <s v="SQL (Basic),CSS (Basic)"/>
        <s v="SQL (Basic),CSS (Basic),JavaScript (Basic)"/>
        <s v="SQL (Basic),Java (Basic)"/>
        <s v="SQL (Basic),Java (Basic),SQL (Intermediate)"/>
        <s v="SQL (Basic),Java (Basic),SQL (Intermediate),Python (Basic),SQL (Advanced),Problem Solving (Basic),Problem Solving (Intermediate)"/>
        <s v="SQL (Basic),JavaScript (Basic)"/>
        <s v="SQL (Basic),JavaScript (Basic),CSS (Basic)"/>
        <s v="SQL (Basic),Problem Solving (Basic),SQL (Intermediate)"/>
        <s v="SQL (Basic),Python (Basic)"/>
        <s v="SQL (Basic),Python (Basic),Java (Basic)"/>
        <s v="SQL (Basic),Python (Basic),Java (Basic),SQL (Intermediate)"/>
        <s v="SQL (Basic),Python (Basic),Problem Solving (Basic)"/>
        <s v="SQL (Basic),Python (Basic),SQL (Intermediate)"/>
        <s v="SQL (Basic),Python (Basic),SQL (Intermediate),Java (Basic)"/>
        <s v="SQL (Basic),Python (Basic),SQL (Intermediate),SQL (Advanced)"/>
        <s v="SQL (Basic),SQL (Intermediate)"/>
        <s v="SQL (Basic),SQL (Intermediate),Java (Basic)"/>
        <s v="SQL (Basic),SQL (Intermediate),Java (Basic),CSS (Basic)"/>
        <s v="SQL (Basic),SQL (Intermediate),Problem Solving (Basic)"/>
        <s v="SQL (Basic),SQL (Intermediate),Python (Basic)"/>
        <s v="SQL (Basic),SQL (Intermediate),SQL (Advanced)"/>
        <s v="SQL (Basic),SQL (Intermediate),SQL (Advanced),Java (Basic)"/>
        <s v="SQL (Basic),SQL (Intermediate),SQL (Advanced),Problem Solving (Basic)"/>
        <s v="SQL (Intermediate)"/>
        <s v="SQL (Intermediate),Python (Basic)"/>
        <s v="SQL (Intermediate),SQL (Basic)"/>
        <s v="SQL (Intermediate),SQL (Basic),Problem Solving (Intermediate)"/>
        <s v="SQL (Intermediate),SQL (Basic),Python (Basic)"/>
        <s v="SQL (Intermediate),SQL (Basic),SQL (Advanced),Java (Basic)"/>
      </sharedItems>
    </cacheField>
    <cacheField name="[Measures].[Distinct Count of Student ID]" caption="Distinct Count of Student ID" numFmtId="0" hierarchy="18" level="32767"/>
  </cacheFields>
  <cacheHierarchies count="19">
    <cacheHierarchy uniqueName="[StudentData].[Student ID]" caption="Student ID" attribute="1" defaultMemberUniqueName="[StudentData].[Student ID].[All]" allUniqueName="[StudentData].[Student ID].[All]" dimensionUniqueName="[StudentData]" displayFolder="" count="0" memberValueDatatype="130" unbalanced="0"/>
    <cacheHierarchy uniqueName="[StudentData].[C Language]" caption="C Language" attribute="1" defaultMemberUniqueName="[StudentData].[C Language].[All]" allUniqueName="[StudentData].[C Language].[All]" dimensionUniqueName="[StudentData]" displayFolder="" count="0" memberValueDatatype="20" unbalanced="0"/>
    <cacheHierarchy uniqueName="[StudentData].[Cpp]" caption="Cpp" attribute="1" defaultMemberUniqueName="[StudentData].[Cpp].[All]" allUniqueName="[StudentData].[Cpp].[All]" dimensionUniqueName="[StudentData]" displayFolder="" count="0" memberValueDatatype="20" unbalanced="0"/>
    <cacheHierarchy uniqueName="[StudentData].[Java]" caption="Java" attribute="1" defaultMemberUniqueName="[StudentData].[Java].[All]" allUniqueName="[StudentData].[Java].[All]" dimensionUniqueName="[StudentData]" displayFolder="" count="0" memberValueDatatype="20" unbalanced="0"/>
    <cacheHierarchy uniqueName="[StudentData].[Python]" caption="Python" attribute="1" defaultMemberUniqueName="[StudentData].[Python].[All]" allUniqueName="[StudentData].[Python].[All]" dimensionUniqueName="[StudentData]" displayFolder="" count="0" memberValueDatatype="20" unbalanced="0"/>
    <cacheHierarchy uniqueName="[StudentData].[Sql]" caption="Sql" attribute="1" defaultMemberUniqueName="[StudentData].[Sql].[All]" allUniqueName="[StudentData].[Sql].[All]" dimensionUniqueName="[StudentData]" displayFolder="" count="0" memberValueDatatype="20" unbalanced="0"/>
    <cacheHierarchy uniqueName="[StudentData].[Badges Count]" caption="Badges Count" attribute="1" defaultMemberUniqueName="[StudentData].[Badges Count].[All]" allUniqueName="[StudentData].[Badges Count].[All]" dimensionUniqueName="[StudentData]" displayFolder="" count="0" memberValueDatatype="20" unbalanced="0"/>
    <cacheHierarchy uniqueName="[StudentData].[Certificate Count]" caption="Certificate Count" attribute="1" defaultMemberUniqueName="[StudentData].[Certificate Count].[All]" allUniqueName="[StudentData].[Certificate Count].[All]" dimensionUniqueName="[StudentData]" displayFolder="" count="0" memberValueDatatype="20" unbalanced="0"/>
    <cacheHierarchy uniqueName="[StudentData].[Certifications]" caption="Certifications" attribute="1" defaultMemberUniqueName="[StudentData].[Certifications].[All]" allUniqueName="[StudentData].[Certifications].[All]" dimensionUniqueName="[StudentData]" displayFolder="" count="2" memberValueDatatype="130" unbalanced="0">
      <fieldsUsage count="2">
        <fieldUsage x="-1"/>
        <fieldUsage x="0"/>
      </fieldsUsage>
    </cacheHierarchy>
    <cacheHierarchy uniqueName="[StudentData].[LC Program Count]" caption="LC Program Count" attribute="1" defaultMemberUniqueName="[StudentData].[LC Program Count].[All]" allUniqueName="[StudentData].[LC Program Count].[All]" dimensionUniqueName="[StudentData]" displayFolder="" count="0" memberValueDatatype="20" unbalanced="0"/>
    <cacheHierarchy uniqueName="[StudentData].[LC Rank]" caption="LC Rank" attribute="1" defaultMemberUniqueName="[StudentData].[LC Rank].[All]" allUniqueName="[StudentData].[LC Rank].[All]" dimensionUniqueName="[StudentData]" displayFolder="" count="0" memberValueDatatype="20" unbalanced="0"/>
    <cacheHierarchy uniqueName="[StudentData].[GFG Count]" caption="GFG Count" attribute="1" defaultMemberUniqueName="[StudentData].[GFG Count].[All]" allUniqueName="[StudentData].[GFG Count].[All]" dimensionUniqueName="[StudentData]" displayFolder="" count="0" memberValueDatatype="20" unbalanced="0"/>
    <cacheHierarchy uniqueName="[StudentData].[GFG Overall Coding Score]" caption="GFG Overall Coding Score" attribute="1" defaultMemberUniqueName="[StudentData].[GFG Overall Coding Score].[All]" allUniqueName="[StudentData].[GFG Overall Coding Score].[All]" dimensionUniqueName="[StudentData]" displayFolder="" count="0" memberValueDatatype="20" unbalanced="0"/>
    <cacheHierarchy uniqueName="[StudentData].[CC Problem Count]" caption="CC Problem Count" attribute="1" defaultMemberUniqueName="[StudentData].[CC Problem Count].[All]" allUniqueName="[StudentData].[CC Problem Count].[All]" dimensionUniqueName="[StudentData]" displayFolder="" count="0" memberValueDatatype="20" unbalanced="0"/>
    <cacheHierarchy uniqueName="[StudentData].[email]" caption="email" attribute="1" defaultMemberUniqueName="[StudentData].[email].[All]" allUniqueName="[StudentData].[email].[All]" dimensionUniqueName="[StudentData]" displayFolder="" count="0" memberValueDatatype="130" unbalanced="0"/>
    <cacheHierarchy uniqueName="[Measures].[__XL_Count StudentData]" caption="__XL_Count StudentData" measure="1" displayFolder="" measureGroup="StudentData" count="0" hidden="1"/>
    <cacheHierarchy uniqueName="[Measures].[__No measures defined]" caption="__No measures defined" measure="1" displayFolder="" count="0" hidden="1"/>
    <cacheHierarchy uniqueName="[Measures].[Count of Student ID]" caption="Count of Student ID" measure="1" displayFolder="" measureGroup="StudentData" count="0" hidden="1">
      <extLst>
        <ext xmlns:x15="http://schemas.microsoft.com/office/spreadsheetml/2010/11/main" uri="{B97F6D7D-B522-45F9-BDA1-12C45D357490}">
          <x15:cacheHierarchy aggregatedColumn="0"/>
        </ext>
      </extLst>
    </cacheHierarchy>
    <cacheHierarchy uniqueName="[Measures].[Distinct Count of Student ID]" caption="Distinct Count of Student ID" measure="1" displayFolder="" measureGroup="StudentData"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Data" uniqueName="[StudentData]" caption="StudentData"/>
  </dimensions>
  <measureGroups count="1">
    <measureGroup name="StudentData" caption="Student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 Prudhvi Reddy" refreshedDate="45869.500433680558" createdVersion="8" refreshedVersion="8" minRefreshableVersion="3" recordCount="672" xr:uid="{DEEED7C1-F511-40FD-BD9C-18FAB670378D}">
  <cacheSource type="worksheet">
    <worksheetSource name="StudentData"/>
  </cacheSource>
  <cacheFields count="17">
    <cacheField name="Student ID" numFmtId="0">
      <sharedItems count="672">
        <s v="23A91A0401"/>
        <s v="23A91A0408"/>
        <s v="23A91A0416"/>
        <s v="23A91A0417"/>
        <s v="23A91A0423"/>
        <s v="23A91A0424"/>
        <s v="23A91A0426"/>
        <s v="23A91A0429"/>
        <s v="23A91A0431"/>
        <s v="23A91A0436"/>
        <s v="23A91A0452"/>
        <s v="23A91A0457"/>
        <s v="23A91A0459"/>
        <s v="23A91A0460"/>
        <s v="23A91A0461"/>
        <s v="23A91A0462"/>
        <s v="23A91A0465"/>
        <s v="23A91A0470"/>
        <s v="23A91A0471"/>
        <s v="23A91A0476"/>
        <s v="23A91A0483"/>
        <s v="23A91A0485"/>
        <s v="23A91A0486"/>
        <s v="23A91A0489"/>
        <s v="23A91A0492"/>
        <s v="23A91A04A0"/>
        <s v="23A91A04A3"/>
        <s v="23A91A04D6"/>
        <s v="23A91A04D7"/>
        <s v="23A91A04F0"/>
        <s v="23A91A04G1"/>
        <s v="23A91A04H2"/>
        <s v="23A91A04I1"/>
        <s v="23A91A04I6"/>
        <s v="23A91A04J9"/>
        <s v="23A91A04M1"/>
        <s v="23A91A04N3"/>
        <s v="23A91A04O3"/>
        <s v="23A91A04P5"/>
        <s v="23A91A0501"/>
        <s v="23A91A0502"/>
        <s v="23A91A0504"/>
        <s v="23A91A0506"/>
        <s v="23A91A0507"/>
        <s v="23A91A0509"/>
        <s v="23A91A0510"/>
        <s v="23A91A0512"/>
        <s v="23A91A0515"/>
        <s v="23A91A0517"/>
        <s v="23A91A0519"/>
        <s v="23A91A0522"/>
        <s v="23A91A0524"/>
        <s v="23A91A0525"/>
        <s v="23A91A0526"/>
        <s v="23A91A0529"/>
        <s v="23A91A0532"/>
        <s v="23A91A0534"/>
        <s v="23A91A0536"/>
        <s v="23A91A0539"/>
        <s v="23A91A0545"/>
        <s v="23A91A0546"/>
        <s v="23A91A0549"/>
        <s v="23A91A0554"/>
        <s v="23A91A0556"/>
        <s v="23A91A0559"/>
        <s v="23A91A0560"/>
        <s v="23A91A0561"/>
        <s v="23A91A0562"/>
        <s v="23A91A0565"/>
        <s v="23A91A0566"/>
        <s v="23A91A0572"/>
        <s v="23A91A0576"/>
        <s v="23A91A0577"/>
        <s v="23A91A0578"/>
        <s v="23A91A0579"/>
        <s v="23A91A0581"/>
        <s v="23A91A0582"/>
        <s v="23A91A0585"/>
        <s v="23A91A0594"/>
        <s v="23A91A0595"/>
        <s v="23A91A0598"/>
        <s v="23A91A05A5"/>
        <s v="23A91A05A7"/>
        <s v="23A91A05B1"/>
        <s v="23A91A05B2"/>
        <s v="23A91A05B6"/>
        <s v="23A91A05C0"/>
        <s v="23A91A05C4"/>
        <s v="23A91A05C5"/>
        <s v="23A91A05D6"/>
        <s v="23A91A05D7"/>
        <s v="23A91A05E1"/>
        <s v="23A91A05E4"/>
        <s v="23A91A05E5"/>
        <s v="23A91A05E6"/>
        <s v="23A91A05F3"/>
        <s v="23A91A05F4"/>
        <s v="23A91A05F5"/>
        <s v="23A91A05F8"/>
        <s v="23A91A05G3"/>
        <s v="23A91A05G5"/>
        <s v="23A91A05G7"/>
        <s v="23A91A05G8"/>
        <s v="23A91A05G9"/>
        <s v="23A91A05H2"/>
        <s v="23A91A05H8"/>
        <s v="23A91A05I0"/>
        <s v="23A91A05I3"/>
        <s v="23A91A05I4"/>
        <s v="23A91A05I6"/>
        <s v="23A91A05I8"/>
        <s v="23A91A05J1"/>
        <s v="23A91A05J2"/>
        <s v="23A91A05J8"/>
        <s v="23A91A05J9"/>
        <s v="23A91A05K1"/>
        <s v="23A91A05K2"/>
        <s v="23A91A1205"/>
        <s v="23A91A1209"/>
        <s v="23A91A1211"/>
        <s v="23A91A1214"/>
        <s v="23A91A1216"/>
        <s v="23A91A1220"/>
        <s v="23A91A1225"/>
        <s v="23A91A1226"/>
        <s v="23A91A1228"/>
        <s v="23A91A1229"/>
        <s v="23A91A1231"/>
        <s v="23A91A1234"/>
        <s v="23A91A1235"/>
        <s v="23A91A1237"/>
        <s v="23A91A1239"/>
        <s v="23A91A1252"/>
        <s v="23A91A1253"/>
        <s v="23A91A1258"/>
        <s v="23A91A1267"/>
        <s v="23A91A1268"/>
        <s v="23A91A1269"/>
        <s v="23A91A1292"/>
        <s v="23A91A1293"/>
        <s v="23A91A1294"/>
        <s v="23A91A1295"/>
        <s v="23A91A12A6"/>
        <s v="23A91A12A9"/>
        <s v="23A91A12C1"/>
        <s v="23A91A12C4"/>
        <s v="23A91A12C5"/>
        <s v="23A91A4402"/>
        <s v="23A91A4403"/>
        <s v="23A91A4409"/>
        <s v="23A91A4410"/>
        <s v="23A91A4429"/>
        <s v="23A91A4440"/>
        <s v="23A91A4445"/>
        <s v="23A91A4454"/>
        <s v="23A91A4459"/>
        <s v="23A91A4465"/>
        <s v="23A91A6105"/>
        <s v="23A91A6108"/>
        <s v="23A91A6112"/>
        <s v="23A91A6113"/>
        <s v="23A91A6116"/>
        <s v="23A91A6119"/>
        <s v="23A91A6124"/>
        <s v="23A91A6127"/>
        <s v="23A91A6136"/>
        <s v="23A91A6142"/>
        <s v="23A91A6144"/>
        <s v="23A91A6149"/>
        <s v="23A91A6151"/>
        <s v="23A91A6152"/>
        <s v="23A91A6153"/>
        <s v="23A91A6159"/>
        <s v="23A91A6166"/>
        <s v="23A91A6168"/>
        <s v="23A91A6169"/>
        <s v="23A91A6171"/>
        <s v="23A91A6172"/>
        <s v="23A91A6181"/>
        <s v="23A91A6188"/>
        <s v="23A91A6191"/>
        <s v="23A91A61A0"/>
        <s v="23A91A61A2"/>
        <s v="23A91A61A9"/>
        <s v="23A91A61B3"/>
        <s v="23A91A61B4"/>
        <s v="23A91A61B7"/>
        <s v="23A91A61C0"/>
        <s v="23A91A61C2"/>
        <s v="23A91A61C5"/>
        <s v="23A91A61C7"/>
        <s v="23A91A61C8"/>
        <s v="23A91A61D8"/>
        <s v="23A91A61E2"/>
        <s v="23A91A61E4"/>
        <s v="23A91A61E9"/>
        <s v="23A91A61F2"/>
        <s v="23A91A61F7"/>
        <s v="23A91A61G7"/>
        <s v="23A91A61G9"/>
        <s v="23A91A61H5"/>
        <s v="23A91A61I6"/>
        <s v="23A91A61J3"/>
        <s v="23A91A61J5"/>
        <s v="23A91A61J6"/>
        <s v="23MH1A0408"/>
        <s v="23MH1A0412"/>
        <s v="23MH1A0422"/>
        <s v="23MH1A0424"/>
        <s v="23MH1A0428"/>
        <s v="23MH1A0433"/>
        <s v="23MH1A0435"/>
        <s v="23MH1A0456"/>
        <s v="23MH1A0462"/>
        <s v="23MH1A0465"/>
        <s v="23MH1A0476"/>
        <s v="23MH1A0484"/>
        <s v="23MH1A04A0"/>
        <s v="23MH1A04G2"/>
        <s v="23MH1A04H9"/>
        <s v="23MH1A0510"/>
        <s v="23MH1A0524"/>
        <s v="23MH1A0525"/>
        <s v="23MH1A0549"/>
        <s v="23MH1A0553"/>
        <s v="23MH1A0571"/>
        <s v="23MH1A0585"/>
        <s v="23MH1A0595"/>
        <s v="23MH1A0599"/>
        <s v="23MH1A05C0"/>
        <s v="23MH1A05D8"/>
        <s v="23MH1A05E6"/>
        <s v="23MH1A05E7"/>
        <s v="23MH1A05E9"/>
        <s v="23MH1A05F2"/>
        <s v="23MH1A05F4"/>
        <s v="23MH1A05F5"/>
        <s v="23MH1A05F7"/>
        <s v="23MH1A05F9"/>
        <s v="23MH1A05G0"/>
        <s v="23MH1A05G2"/>
        <s v="23MH1A05G4"/>
        <s v="23MH1A05G5"/>
        <s v="23MH1A05G7"/>
        <s v="23MH1A05H0"/>
        <s v="23MH1A05H2"/>
        <s v="23MH1A05H3"/>
        <s v="23MH1A05H5"/>
        <s v="23MH1A05H7"/>
        <s v="23MH1A05H8"/>
        <s v="23MH1A05I2"/>
        <s v="23MH1A05I3"/>
        <s v="23MH1A05I5"/>
        <s v="23MH1A05I6"/>
        <s v="23MH1A05I7"/>
        <s v="23MH1A05I9"/>
        <s v="23MH1A05J2"/>
        <s v="23MH1A05J4"/>
        <s v="23MH1A05J5"/>
        <s v="23MH1A05J9"/>
        <s v="23MH1A05K1"/>
        <s v="23MH1A05K2"/>
        <s v="23MH1A05K4"/>
        <s v="23MH1A05K5"/>
        <s v="23MH1A05K7"/>
        <s v="23MH1A05L1"/>
        <s v="23MH1A05L2"/>
        <s v="23MH1A05L3"/>
        <s v="23MH1A05L4"/>
        <s v="23MH1A05L8"/>
        <s v="23MH1A05L9"/>
        <s v="23MH1A05M0"/>
        <s v="23MH1A05M1"/>
        <s v="23MH1A05M4"/>
        <s v="23MH1A05M8"/>
        <s v="23MH1A05N0"/>
        <s v="23MH1A05N3"/>
        <s v="23MH1A05N4"/>
        <s v="23MH1A05N5"/>
        <s v="23MH1A05N6"/>
        <s v="23MH1A05N8"/>
        <s v="23MH1A05O0"/>
        <s v="23MH1A05O1"/>
        <s v="23MH1A05O2"/>
        <s v="23MH1A05O3"/>
        <s v="23MH1A05O5"/>
        <s v="23MH1A05O6"/>
        <s v="23MH1A05P3"/>
        <s v="23MH1A05P4"/>
        <s v="23MH1A05P9"/>
        <s v="23MH1A05Q8"/>
        <s v="23MH1A05R1"/>
        <s v="23MH1A05R5"/>
        <s v="23MH1A05S5"/>
        <s v="23MH1A1201"/>
        <s v="23MH1A1220"/>
        <s v="23MH1A1227"/>
        <s v="23MH1A1241"/>
        <s v="23MH1A1242"/>
        <s v="23MH1A1249"/>
        <s v="23MH1A1252"/>
        <s v="23MH1A1254"/>
        <s v="23MH1A4206"/>
        <s v="23MH1A4207"/>
        <s v="23MH1A4209"/>
        <s v="23MH1A4216"/>
        <s v="23MH1A4217"/>
        <s v="23MH1A4218"/>
        <s v="23MH1A4224"/>
        <s v="23MH1A4225"/>
        <s v="23MH1A4226"/>
        <s v="23MH1A4227"/>
        <s v="23MH1A4228"/>
        <s v="23MH1A4229"/>
        <s v="23MH1A4234"/>
        <s v="23MH1A4235"/>
        <s v="23MH1A4236"/>
        <s v="23MH1A4238"/>
        <s v="23MH1A4243"/>
        <s v="23MH1A4244"/>
        <s v="23MH1A4249"/>
        <s v="23MH1A4250"/>
        <s v="23MH1A4255"/>
        <s v="23MH1A4260"/>
        <s v="23MH1A4261"/>
        <s v="23MH1A4265"/>
        <s v="23MH1A4266"/>
        <s v="23MH1A4268"/>
        <s v="23MH1A4269"/>
        <s v="23MH1A4270"/>
        <s v="23MH1A4271"/>
        <s v="23MH1A4273"/>
        <s v="23MH1A4275"/>
        <s v="23MH1A4291"/>
        <s v="23MH1A42A1"/>
        <s v="23MH1A42A4"/>
        <s v="23MH1A42B1"/>
        <s v="23MH1A42B2"/>
        <s v="23MH1A42B9"/>
        <s v="23MH1A42C9"/>
        <s v="23MH1A42D3"/>
        <s v="23MH1A42F8"/>
        <s v="23MH1A42G7"/>
        <s v="23MH1A42I9"/>
        <s v="23MH1A42J0"/>
        <s v="23MH1A4404"/>
        <s v="23MH1A4406"/>
        <s v="23MH1A4409"/>
        <s v="23MH1A4413"/>
        <s v="23MH1A4416"/>
        <s v="23MH1A4420"/>
        <s v="23MH1A4426"/>
        <s v="23MH1A4432"/>
        <s v="23MH1A4433"/>
        <s v="23MH1A4434"/>
        <s v="23MH1A4435"/>
        <s v="23MH1A4453"/>
        <s v="23MH1A4461"/>
        <s v="23MH1A4462"/>
        <s v="23MH1A4463"/>
        <s v="23MH1A4464"/>
        <s v="23MH1A4465"/>
        <s v="23MH1A4901"/>
        <s v="23MH1A4905"/>
        <s v="23MH1A4918"/>
        <s v="23MH1A4930"/>
        <s v="23MH1A4944"/>
        <s v="23MH1A4945"/>
        <s v="23MH1A4946"/>
        <s v="23MH1A4957"/>
        <s v="23MH1A4962"/>
        <s v="23MH1A4963"/>
        <s v="23P31A0428"/>
        <s v="23P31A0435"/>
        <s v="23P31A0437"/>
        <s v="23P31A0446"/>
        <s v="23P31A0449"/>
        <s v="23P31A0467"/>
        <s v="23P31A0476"/>
        <s v="23P31A0486"/>
        <s v="23P31A0491"/>
        <s v="23P31A0496"/>
        <s v="23P31A04B3"/>
        <s v="23P31A04B8"/>
        <s v="23P31A04C4"/>
        <s v="23P31A04C7"/>
        <s v="23P31A04E4"/>
        <s v="23P31A04F8"/>
        <s v="23P31A04I5"/>
        <s v="23P31A04I8"/>
        <s v="23P31A04J0"/>
        <s v="23P31A0501"/>
        <s v="23P31A0502"/>
        <s v="23P31A0503"/>
        <s v="23P31A0504"/>
        <s v="23P31A0505"/>
        <s v="23P31A0506"/>
        <s v="23P31A0507"/>
        <s v="23P31A0508"/>
        <s v="23P31A0509"/>
        <s v="23P31A0511"/>
        <s v="23P31A0513"/>
        <s v="23P31A0514"/>
        <s v="23P31A0516"/>
        <s v="23P31A0517"/>
        <s v="23P31A0519"/>
        <s v="23P31A0520"/>
        <s v="23P31A0521"/>
        <s v="23P31A0524"/>
        <s v="23P31A0526"/>
        <s v="23P31A0527"/>
        <s v="23P31A0528"/>
        <s v="23P31A0529"/>
        <s v="23P31A0530"/>
        <s v="23P31A0531"/>
        <s v="23P31A0532"/>
        <s v="23P31A0534"/>
        <s v="23P31A0537"/>
        <s v="23P31A0538"/>
        <s v="23P31A0539"/>
        <s v="23P31A0540"/>
        <s v="23P31A0543"/>
        <s v="23P31A0544"/>
        <s v="23P31A0545"/>
        <s v="23P31A0547"/>
        <s v="23P31A0548"/>
        <s v="23P31A0549"/>
        <s v="23P31A0552"/>
        <s v="23P31A0556"/>
        <s v="23P31A0557"/>
        <s v="23P31A0560"/>
        <s v="23P31A0561"/>
        <s v="23P31A0562"/>
        <s v="23P31A0563"/>
        <s v="23P31A0564"/>
        <s v="23P31A0565"/>
        <s v="23P31A0567"/>
        <s v="23P31A0568"/>
        <s v="23P31A0569"/>
        <s v="23P31A0575"/>
        <s v="23P31A0577"/>
        <s v="23P31A0578"/>
        <s v="23P31A0581"/>
        <s v="23P31A0582"/>
        <s v="23P31A0583"/>
        <s v="23P31A0584"/>
        <s v="23P31A0586"/>
        <s v="23P31A0587"/>
        <s v="23P31A0588"/>
        <s v="23P31A0597"/>
        <s v="23P31A0599"/>
        <s v="23P31A05A9"/>
        <s v="23P31A05C0"/>
        <s v="23P31A05D3"/>
        <s v="23P31A05D6"/>
        <s v="23P31A05D7"/>
        <s v="23P31A05E4"/>
        <s v="23P31A05E5"/>
        <s v="23P31A05F2"/>
        <s v="23P31A05G5"/>
        <s v="23P31A05H3"/>
        <s v="23P31A05H4"/>
        <s v="23P31A05H6"/>
        <s v="23P31A05H8"/>
        <s v="23P31A05I7"/>
        <s v="23P31A05I9"/>
        <s v="23P31A05K0"/>
        <s v="23P31A05K5"/>
        <s v="23P31A05L9"/>
        <s v="23P31A05M4"/>
        <s v="23P31A05M5"/>
        <s v="23P31A05O1"/>
        <s v="23P31A05O2"/>
        <s v="23P31A05P3"/>
        <s v="23P31A05P4"/>
        <s v="23P31A05R2"/>
        <s v="23P31A1201"/>
        <s v="23P31A1202"/>
        <s v="23P31A1203"/>
        <s v="23P31A1205"/>
        <s v="23P31A1206"/>
        <s v="23P31A1208"/>
        <s v="23P31A1209"/>
        <s v="23P31A1210"/>
        <s v="23P31A1211"/>
        <s v="23P31A1212"/>
        <s v="23P31A1216"/>
        <s v="23P31A1218"/>
        <s v="23P31A1221"/>
        <s v="23P31A1222"/>
        <s v="23P31A1223"/>
        <s v="23P31A1225"/>
        <s v="23P31A1226"/>
        <s v="23P31A1227"/>
        <s v="23P31A1228"/>
        <s v="23P31A1230"/>
        <s v="23P31A1231"/>
        <s v="23P31A1232"/>
        <s v="23P31A1235"/>
        <s v="23P31A1249"/>
        <s v="23P31A1250"/>
        <s v="23P31A1253"/>
        <s v="23P31A1264"/>
        <s v="23P31A1266"/>
        <s v="23P31A1271"/>
        <s v="23P31A1277"/>
        <s v="23P31A1285"/>
        <s v="23P31A1289"/>
        <s v="23P31A1293"/>
        <s v="23P31A12A8"/>
        <s v="23P31A12A9"/>
        <s v="23P31A12B5"/>
        <s v="23P31A12B7"/>
        <s v="23P31A12C5"/>
        <s v="23P31A12D0"/>
        <s v="23P31A4202"/>
        <s v="23P31A4203"/>
        <s v="23P31A4205"/>
        <s v="23P31A4207"/>
        <s v="23P31A4209"/>
        <s v="23P31A4210"/>
        <s v="23P31A4211"/>
        <s v="23P31A4213"/>
        <s v="23P31A4214"/>
        <s v="23P31A4215"/>
        <s v="23P31A4216"/>
        <s v="23P31A4217"/>
        <s v="23P31A4218"/>
        <s v="23P31A4220"/>
        <s v="23P31A4221"/>
        <s v="23P31A4222"/>
        <s v="23P31A4223"/>
        <s v="23P31A4224"/>
        <s v="23P31A4225"/>
        <s v="23P31A4227"/>
        <s v="23P31A4229"/>
        <s v="23P31A4230"/>
        <s v="23P31A4231"/>
        <s v="23P31A4232"/>
        <s v="23P31A4235"/>
        <s v="23P31A4236"/>
        <s v="23P31A4237"/>
        <s v="23P31A4238"/>
        <s v="23P31A4240"/>
        <s v="23P31A4241"/>
        <s v="23P31A4242"/>
        <s v="23P31A4243"/>
        <s v="23P31A4244"/>
        <s v="23P31A4245"/>
        <s v="23P31A4246"/>
        <s v="23P31A4247"/>
        <s v="23P31A4248"/>
        <s v="23P31A4251"/>
        <s v="23P31A4252"/>
        <s v="23P31A4253"/>
        <s v="23P31A4254"/>
        <s v="23P31A4255"/>
        <s v="23P31A4256"/>
        <s v="23P31A4257"/>
        <s v="23P31A4259"/>
        <s v="23P31A4261"/>
        <s v="23P31A4263"/>
        <s v="23P31A4265"/>
        <s v="23P31A4266"/>
        <s v="23P31A4267"/>
        <s v="23P31A4268"/>
        <s v="23P31A4271"/>
        <s v="23P31A4272"/>
        <s v="23P31A4274"/>
        <s v="23P31A4281"/>
        <s v="23P31A4295"/>
        <s v="23P31A42A1"/>
        <s v="23P31A42A8"/>
        <s v="23P31A42C1"/>
        <s v="23P31A42E2"/>
        <s v="23P31A42F6"/>
        <s v="23P31A42G3"/>
        <s v="23P31A4402"/>
        <s v="23P31A4403"/>
        <s v="23P31A4404"/>
        <s v="23P31A4405"/>
        <s v="23P31A4410"/>
        <s v="23P31A4414"/>
        <s v="23P31A4416"/>
        <s v="23P31A4419"/>
        <s v="23P31A4421"/>
        <s v="23P31A4422"/>
        <s v="23P31A4426"/>
        <s v="23P31A4430"/>
        <s v="23P31A4434"/>
        <s v="23P31A4436"/>
        <s v="23P31A4441"/>
        <s v="23P31A4442"/>
        <s v="23P31A4443"/>
        <s v="23P31A4444"/>
        <s v="23P31A4465"/>
        <s v="23P31A4466"/>
        <s v="23P31A4467"/>
        <s v="23P31A4475"/>
        <s v="23P31A4477"/>
        <s v="23P31A4479"/>
        <s v="23P31A4482"/>
        <s v="23P31A4484"/>
        <s v="23P31A4486"/>
        <s v="23P31A4487"/>
        <s v="23P31A4490"/>
        <s v="23P31A4497"/>
        <s v="23P31A4498"/>
        <s v="23P31A44A0"/>
        <s v="23P31A44A3"/>
        <s v="23P31A44A6"/>
        <s v="23P31A44C4"/>
        <s v="24A95A0403"/>
        <s v="24A95A0406"/>
        <s v="24A95A0407"/>
        <s v="24A95A0408"/>
        <s v="24A95A0412"/>
        <s v="24A95A0413"/>
        <s v="24A95A0414"/>
        <s v="24A95A0415"/>
        <s v="24A95A0421"/>
        <s v="24A95A0424"/>
        <s v="24A95A0425"/>
        <s v="24A95A0502"/>
        <s v="24A95A0505"/>
        <s v="24A95A0510"/>
        <s v="24A95A0511"/>
        <s v="24A95A0512"/>
        <s v="24A95A0514"/>
        <s v="24A95A0515"/>
        <s v="24A95A0517"/>
        <s v="24A95A1202"/>
        <s v="24A95A6101"/>
        <s v="24A95A6108"/>
        <s v="24A95A6109"/>
        <s v="24P35A0401"/>
        <s v="24P35A0402"/>
        <s v="24P35A0403"/>
        <s v="24P35A0407"/>
        <s v="24P35A0413"/>
        <s v="24P35A0422"/>
        <s v="24P35A0430"/>
        <s v="24P35A0431"/>
        <s v="24P35A0436"/>
        <s v="24P35A0513"/>
        <s v="24P35A0514"/>
        <s v="24P35A0518"/>
        <s v="24P35A0519"/>
        <s v="24P35A0520"/>
        <s v="24P35A0521"/>
        <s v="24P35A0530"/>
        <s v="24P35A0531"/>
        <s v="24P35A0535"/>
        <s v="24P35A0539"/>
        <s v="24P35A0541"/>
        <s v="24P35A0545"/>
        <s v="24P35A0549"/>
        <s v="24P35A0550"/>
        <s v="24P35A0553"/>
        <s v="24P35A0555"/>
        <s v="24P35A0557"/>
        <s v="24P35A1204"/>
        <s v="24P35A4203"/>
        <s v="24P35A4213"/>
        <s v="24P35A4216"/>
        <s v="24P35A4225"/>
        <s v="24P35A4227"/>
        <s v="24P35A4230"/>
        <s v="24P35A4232"/>
        <s v="24P35A4233"/>
        <s v="24P35A4237"/>
        <s v="24P35A4906"/>
      </sharedItems>
    </cacheField>
    <cacheField name="College" numFmtId="0">
      <sharedItems count="3">
        <s v="ACET"/>
        <s v="ACOE"/>
        <s v="AEC"/>
      </sharedItems>
    </cacheField>
    <cacheField name="Branch" numFmtId="0">
      <sharedItems count="6">
        <s v="ECE"/>
        <s v="CSE"/>
        <s v="IT"/>
        <s v="AI&amp;ML"/>
        <s v="DS"/>
        <s v="CSE(AI&amp;DS)"/>
      </sharedItems>
    </cacheField>
    <cacheField name="C Language" numFmtId="0">
      <sharedItems containsSemiMixedTypes="0" containsString="0" containsNumber="1" containsInteger="1" minValue="0" maxValue="5"/>
    </cacheField>
    <cacheField name="Cpp" numFmtId="0">
      <sharedItems containsSemiMixedTypes="0" containsString="0" containsNumber="1" containsInteger="1" minValue="0" maxValue="5"/>
    </cacheField>
    <cacheField name="Java" numFmtId="0">
      <sharedItems containsSemiMixedTypes="0" containsString="0" containsNumber="1" containsInteger="1" minValue="0" maxValue="5"/>
    </cacheField>
    <cacheField name="Python" numFmtId="0">
      <sharedItems containsSemiMixedTypes="0" containsString="0" containsNumber="1" containsInteger="1" minValue="0" maxValue="5"/>
    </cacheField>
    <cacheField name="Sql" numFmtId="0">
      <sharedItems containsSemiMixedTypes="0" containsString="0" containsNumber="1" containsInteger="1" minValue="0" maxValue="5"/>
    </cacheField>
    <cacheField name="Badges Count" numFmtId="0">
      <sharedItems containsSemiMixedTypes="0" containsString="0" containsNumber="1" containsInteger="1" minValue="0" maxValue="6"/>
    </cacheField>
    <cacheField name="Certificate Count" numFmtId="0">
      <sharedItems containsSemiMixedTypes="0" containsString="0" containsNumber="1" containsInteger="1" minValue="0" maxValue="16"/>
    </cacheField>
    <cacheField name="Certifications" numFmtId="0">
      <sharedItems longText="1"/>
    </cacheField>
    <cacheField name="LC Program Count" numFmtId="0">
      <sharedItems containsSemiMixedTypes="0" containsString="0" containsNumber="1" containsInteger="1" minValue="0" maxValue="677"/>
    </cacheField>
    <cacheField name="LC Rank" numFmtId="0">
      <sharedItems containsSemiMixedTypes="0" containsString="0" containsNumber="1" containsInteger="1" minValue="0" maxValue="5000001"/>
    </cacheField>
    <cacheField name="GFG Count" numFmtId="0">
      <sharedItems containsSemiMixedTypes="0" containsString="0" containsNumber="1" containsInteger="1" minValue="0" maxValue="340"/>
    </cacheField>
    <cacheField name="GFG Overall Coding Score" numFmtId="0">
      <sharedItems containsSemiMixedTypes="0" containsString="0" containsNumber="1" containsInteger="1" minValue="0" maxValue="949"/>
    </cacheField>
    <cacheField name="CC Problem Count" numFmtId="0">
      <sharedItems containsSemiMixedTypes="0" containsString="0" containsNumber="1" containsInteger="1" minValue="0" maxValue="1240"/>
    </cacheField>
    <cacheField name="email" numFmtId="0">
      <sharedItems/>
    </cacheField>
  </cacheFields>
  <extLst>
    <ext xmlns:x14="http://schemas.microsoft.com/office/spreadsheetml/2009/9/main" uri="{725AE2AE-9491-48be-B2B4-4EB974FC3084}">
      <x14:pivotCacheDefinition pivotCacheId="379826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3">
  <r>
    <x v="0"/>
    <n v="5"/>
    <n v="0"/>
    <n v="0"/>
    <n v="0"/>
    <n v="0"/>
    <n v="1"/>
    <n v="0"/>
    <x v="0"/>
    <n v="0"/>
    <n v="5000001"/>
    <n v="0"/>
    <n v="0"/>
    <n v="291"/>
    <s v="23a91a0401@aect.dummy.in"/>
  </r>
  <r>
    <x v="1"/>
    <n v="0"/>
    <n v="0"/>
    <n v="0"/>
    <n v="0"/>
    <n v="0"/>
    <n v="0"/>
    <n v="0"/>
    <x v="0"/>
    <n v="0"/>
    <n v="5000001"/>
    <n v="0"/>
    <n v="0"/>
    <n v="0"/>
    <s v="23a91a0408@aect.dummy.in"/>
  </r>
  <r>
    <x v="2"/>
    <n v="5"/>
    <n v="0"/>
    <n v="0"/>
    <n v="1"/>
    <n v="0"/>
    <n v="2"/>
    <n v="0"/>
    <x v="0"/>
    <n v="49"/>
    <n v="2010823"/>
    <n v="3"/>
    <n v="4"/>
    <n v="176"/>
    <s v="23a91a0416@aect.dummy.in"/>
  </r>
  <r>
    <x v="3"/>
    <n v="4"/>
    <n v="0"/>
    <n v="0"/>
    <n v="0"/>
    <n v="0"/>
    <n v="1"/>
    <n v="0"/>
    <x v="0"/>
    <n v="6"/>
    <n v="5000001"/>
    <n v="0"/>
    <n v="0"/>
    <n v="254"/>
    <s v="23a91a0417@aect.dummy.in"/>
  </r>
  <r>
    <x v="4"/>
    <n v="5"/>
    <n v="0"/>
    <n v="0"/>
    <n v="0"/>
    <n v="0"/>
    <n v="1"/>
    <n v="0"/>
    <x v="0"/>
    <n v="0"/>
    <n v="5000001"/>
    <n v="0"/>
    <n v="0"/>
    <n v="18"/>
    <s v="23a91a0423@aect.dummy.in"/>
  </r>
  <r>
    <x v="5"/>
    <n v="5"/>
    <n v="0"/>
    <n v="0"/>
    <n v="0"/>
    <n v="0"/>
    <n v="1"/>
    <n v="0"/>
    <x v="0"/>
    <n v="0"/>
    <n v="5000001"/>
    <n v="0"/>
    <n v="0"/>
    <n v="0"/>
    <s v="23a91a0424@aect.dummy.in"/>
  </r>
  <r>
    <x v="6"/>
    <n v="5"/>
    <n v="0"/>
    <n v="0"/>
    <n v="0"/>
    <n v="0"/>
    <n v="1"/>
    <n v="0"/>
    <x v="0"/>
    <n v="0"/>
    <n v="5000001"/>
    <n v="0"/>
    <n v="0"/>
    <n v="0"/>
    <s v="23a91a0426@aect.dummy.in"/>
  </r>
  <r>
    <x v="7"/>
    <n v="4"/>
    <n v="0"/>
    <n v="0"/>
    <n v="0"/>
    <n v="0"/>
    <n v="1"/>
    <n v="0"/>
    <x v="0"/>
    <n v="0"/>
    <n v="5000001"/>
    <n v="0"/>
    <n v="0"/>
    <n v="14"/>
    <s v="23a91a0429@aect.dummy.in"/>
  </r>
  <r>
    <x v="8"/>
    <n v="0"/>
    <n v="0"/>
    <n v="0"/>
    <n v="0"/>
    <n v="0"/>
    <n v="0"/>
    <n v="0"/>
    <x v="0"/>
    <n v="0"/>
    <n v="5000001"/>
    <n v="0"/>
    <n v="0"/>
    <n v="188"/>
    <s v="23a91a0431@aect.dummy.in"/>
  </r>
  <r>
    <x v="9"/>
    <n v="5"/>
    <n v="0"/>
    <n v="0"/>
    <n v="0"/>
    <n v="0"/>
    <n v="1"/>
    <n v="0"/>
    <x v="0"/>
    <n v="198"/>
    <n v="619067"/>
    <n v="135"/>
    <n v="306"/>
    <n v="515"/>
    <s v="23a91a0436@aect.dummy.in"/>
  </r>
  <r>
    <x v="10"/>
    <n v="4"/>
    <n v="0"/>
    <n v="0"/>
    <n v="0"/>
    <n v="0"/>
    <n v="1"/>
    <n v="0"/>
    <x v="0"/>
    <n v="0"/>
    <n v="5000001"/>
    <n v="0"/>
    <n v="0"/>
    <n v="38"/>
    <s v="23a91a0452@aect.dummy.in"/>
  </r>
  <r>
    <x v="11"/>
    <n v="5"/>
    <n v="0"/>
    <n v="0"/>
    <n v="0"/>
    <n v="0"/>
    <n v="1"/>
    <n v="0"/>
    <x v="0"/>
    <n v="0"/>
    <n v="5000001"/>
    <n v="0"/>
    <n v="0"/>
    <n v="0"/>
    <s v="23a91a0457@aect.dummy.in"/>
  </r>
  <r>
    <x v="12"/>
    <n v="5"/>
    <n v="0"/>
    <n v="0"/>
    <n v="2"/>
    <n v="0"/>
    <n v="2"/>
    <n v="0"/>
    <x v="0"/>
    <n v="1"/>
    <n v="5000001"/>
    <n v="0"/>
    <n v="0"/>
    <n v="144"/>
    <s v="23a91a0459@aect.dummy.in"/>
  </r>
  <r>
    <x v="13"/>
    <n v="5"/>
    <n v="0"/>
    <n v="0"/>
    <n v="0"/>
    <n v="0"/>
    <n v="1"/>
    <n v="0"/>
    <x v="0"/>
    <n v="0"/>
    <n v="5000001"/>
    <n v="0"/>
    <n v="0"/>
    <n v="26"/>
    <s v="23a91a0460@aect.dummy.in"/>
  </r>
  <r>
    <x v="14"/>
    <n v="5"/>
    <n v="0"/>
    <n v="0"/>
    <n v="0"/>
    <n v="0"/>
    <n v="1"/>
    <n v="0"/>
    <x v="0"/>
    <n v="0"/>
    <n v="5000001"/>
    <n v="0"/>
    <n v="0"/>
    <n v="0"/>
    <s v="23a91a0461@aect.dummy.in"/>
  </r>
  <r>
    <x v="15"/>
    <n v="5"/>
    <n v="0"/>
    <n v="0"/>
    <n v="0"/>
    <n v="0"/>
    <n v="1"/>
    <n v="0"/>
    <x v="0"/>
    <n v="0"/>
    <n v="5000001"/>
    <n v="0"/>
    <n v="0"/>
    <n v="0"/>
    <s v="23a91a0462@aect.dummy.in"/>
  </r>
  <r>
    <x v="16"/>
    <n v="5"/>
    <n v="0"/>
    <n v="0"/>
    <n v="0"/>
    <n v="0"/>
    <n v="1"/>
    <n v="0"/>
    <x v="0"/>
    <n v="3"/>
    <n v="5000001"/>
    <n v="0"/>
    <n v="0"/>
    <n v="75"/>
    <s v="23a91a0465@aect.dummy.in"/>
  </r>
  <r>
    <x v="17"/>
    <n v="5"/>
    <n v="0"/>
    <n v="0"/>
    <n v="0"/>
    <n v="0"/>
    <n v="1"/>
    <n v="0"/>
    <x v="0"/>
    <n v="1"/>
    <n v="5000001"/>
    <n v="1"/>
    <n v="0"/>
    <n v="2"/>
    <s v="23a91a0470@aect.dummy.in"/>
  </r>
  <r>
    <x v="18"/>
    <n v="0"/>
    <n v="0"/>
    <n v="0"/>
    <n v="0"/>
    <n v="0"/>
    <n v="0"/>
    <n v="0"/>
    <x v="0"/>
    <n v="0"/>
    <n v="5000001"/>
    <n v="0"/>
    <n v="0"/>
    <n v="78"/>
    <s v="23a91a0471@aect.dummy.in"/>
  </r>
  <r>
    <x v="19"/>
    <n v="4"/>
    <n v="0"/>
    <n v="0"/>
    <n v="2"/>
    <n v="0"/>
    <n v="2"/>
    <n v="0"/>
    <x v="0"/>
    <n v="2"/>
    <n v="5000001"/>
    <n v="10"/>
    <n v="17"/>
    <n v="682"/>
    <s v="23a91a0476@aect.dummy.in"/>
  </r>
  <r>
    <x v="20"/>
    <n v="0"/>
    <n v="0"/>
    <n v="0"/>
    <n v="0"/>
    <n v="0"/>
    <n v="0"/>
    <n v="0"/>
    <x v="0"/>
    <n v="0"/>
    <n v="5000001"/>
    <n v="0"/>
    <n v="0"/>
    <n v="173"/>
    <s v="23a91a0483@aect.dummy.in"/>
  </r>
  <r>
    <x v="21"/>
    <n v="0"/>
    <n v="0"/>
    <n v="0"/>
    <n v="3"/>
    <n v="1"/>
    <n v="2"/>
    <n v="0"/>
    <x v="0"/>
    <n v="24"/>
    <n v="3007218"/>
    <n v="13"/>
    <n v="20"/>
    <n v="929"/>
    <s v="23a91a0485@aect.dummy.in"/>
  </r>
  <r>
    <x v="22"/>
    <n v="5"/>
    <n v="0"/>
    <n v="0"/>
    <n v="2"/>
    <n v="0"/>
    <n v="2"/>
    <n v="0"/>
    <x v="0"/>
    <n v="0"/>
    <n v="5000001"/>
    <n v="0"/>
    <n v="0"/>
    <n v="55"/>
    <s v="23a91a0486@aect.dummy.in"/>
  </r>
  <r>
    <x v="23"/>
    <n v="5"/>
    <n v="0"/>
    <n v="0"/>
    <n v="1"/>
    <n v="0"/>
    <n v="2"/>
    <n v="0"/>
    <x v="0"/>
    <n v="0"/>
    <n v="5000001"/>
    <n v="17"/>
    <n v="28"/>
    <n v="34"/>
    <s v="23a91a0489@aect.dummy.in"/>
  </r>
  <r>
    <x v="24"/>
    <n v="5"/>
    <n v="0"/>
    <n v="0"/>
    <n v="0"/>
    <n v="0"/>
    <n v="1"/>
    <n v="0"/>
    <x v="0"/>
    <n v="0"/>
    <n v="5000001"/>
    <n v="0"/>
    <n v="0"/>
    <n v="121"/>
    <s v="23a91a0492@aect.dummy.in"/>
  </r>
  <r>
    <x v="25"/>
    <n v="5"/>
    <n v="0"/>
    <n v="0"/>
    <n v="0"/>
    <n v="0"/>
    <n v="1"/>
    <n v="0"/>
    <x v="0"/>
    <n v="0"/>
    <n v="5000001"/>
    <n v="0"/>
    <n v="0"/>
    <n v="0"/>
    <s v="23a91a04a0@aect.dummy.in"/>
  </r>
  <r>
    <x v="26"/>
    <n v="4"/>
    <n v="0"/>
    <n v="0"/>
    <n v="1"/>
    <n v="0"/>
    <n v="2"/>
    <n v="0"/>
    <x v="0"/>
    <n v="1"/>
    <n v="5000001"/>
    <n v="15"/>
    <n v="15"/>
    <n v="662"/>
    <s v="23a91a04a3@aect.dummy.in"/>
  </r>
  <r>
    <x v="27"/>
    <n v="5"/>
    <n v="0"/>
    <n v="0"/>
    <n v="0"/>
    <n v="0"/>
    <n v="1"/>
    <n v="0"/>
    <x v="0"/>
    <n v="0"/>
    <n v="5000001"/>
    <n v="0"/>
    <n v="0"/>
    <n v="0"/>
    <s v="23a91a04d6@aect.dummy.in"/>
  </r>
  <r>
    <x v="28"/>
    <n v="5"/>
    <n v="0"/>
    <n v="0"/>
    <n v="0"/>
    <n v="0"/>
    <n v="1"/>
    <n v="0"/>
    <x v="0"/>
    <n v="0"/>
    <n v="5000001"/>
    <n v="0"/>
    <n v="0"/>
    <n v="0"/>
    <s v="23a91a04d7@aect.dummy.in"/>
  </r>
  <r>
    <x v="29"/>
    <n v="5"/>
    <n v="0"/>
    <n v="0"/>
    <n v="0"/>
    <n v="0"/>
    <n v="1"/>
    <n v="0"/>
    <x v="0"/>
    <n v="0"/>
    <n v="5000001"/>
    <n v="0"/>
    <n v="0"/>
    <n v="0"/>
    <s v="23a91a04f0@aect.dummy.in"/>
  </r>
  <r>
    <x v="30"/>
    <n v="5"/>
    <n v="0"/>
    <n v="0"/>
    <n v="3"/>
    <n v="0"/>
    <n v="2"/>
    <n v="0"/>
    <x v="0"/>
    <n v="11"/>
    <n v="4666138"/>
    <n v="4"/>
    <n v="7"/>
    <n v="254"/>
    <s v="23a91a04g1@aect.dummy.in"/>
  </r>
  <r>
    <x v="31"/>
    <n v="5"/>
    <n v="0"/>
    <n v="0"/>
    <n v="0"/>
    <n v="0"/>
    <n v="1"/>
    <n v="0"/>
    <x v="0"/>
    <n v="11"/>
    <n v="4325798"/>
    <n v="1"/>
    <n v="2"/>
    <n v="262"/>
    <s v="23a91a04h2@aect.dummy.in"/>
  </r>
  <r>
    <x v="32"/>
    <n v="0"/>
    <n v="0"/>
    <n v="0"/>
    <n v="0"/>
    <n v="0"/>
    <n v="0"/>
    <n v="0"/>
    <x v="0"/>
    <n v="0"/>
    <n v="5000001"/>
    <n v="0"/>
    <n v="0"/>
    <n v="0"/>
    <s v="23a91a04i1@aect.dummy.in"/>
  </r>
  <r>
    <x v="33"/>
    <n v="5"/>
    <n v="0"/>
    <n v="0"/>
    <n v="0"/>
    <n v="0"/>
    <n v="1"/>
    <n v="0"/>
    <x v="0"/>
    <n v="0"/>
    <n v="5000001"/>
    <n v="0"/>
    <n v="0"/>
    <n v="0"/>
    <s v="23a91a04i6@aect.dummy.in"/>
  </r>
  <r>
    <x v="34"/>
    <n v="5"/>
    <n v="0"/>
    <n v="0"/>
    <n v="0"/>
    <n v="0"/>
    <n v="1"/>
    <n v="0"/>
    <x v="0"/>
    <n v="0"/>
    <n v="5000001"/>
    <n v="0"/>
    <n v="0"/>
    <n v="0"/>
    <s v="23a91a04j9@aect.dummy.in"/>
  </r>
  <r>
    <x v="35"/>
    <n v="5"/>
    <n v="0"/>
    <n v="0"/>
    <n v="3"/>
    <n v="0"/>
    <n v="2"/>
    <n v="0"/>
    <x v="0"/>
    <n v="24"/>
    <n v="3010862"/>
    <n v="0"/>
    <n v="0"/>
    <n v="61"/>
    <s v="23a91a04m1@aect.dummy.in"/>
  </r>
  <r>
    <x v="36"/>
    <n v="5"/>
    <n v="0"/>
    <n v="2"/>
    <n v="2"/>
    <n v="0"/>
    <n v="3"/>
    <n v="0"/>
    <x v="0"/>
    <n v="7"/>
    <n v="5000001"/>
    <n v="0"/>
    <n v="0"/>
    <n v="60"/>
    <s v="23a91a04n3@aect.dummy.in"/>
  </r>
  <r>
    <x v="37"/>
    <n v="5"/>
    <n v="0"/>
    <n v="0"/>
    <n v="0"/>
    <n v="0"/>
    <n v="1"/>
    <n v="0"/>
    <x v="0"/>
    <n v="0"/>
    <n v="5000001"/>
    <n v="0"/>
    <n v="0"/>
    <n v="0"/>
    <s v="23a91a04o3@aect.dummy.in"/>
  </r>
  <r>
    <x v="38"/>
    <n v="0"/>
    <n v="0"/>
    <n v="0"/>
    <n v="0"/>
    <n v="0"/>
    <n v="0"/>
    <n v="0"/>
    <x v="0"/>
    <n v="0"/>
    <n v="5000001"/>
    <n v="0"/>
    <n v="0"/>
    <n v="0"/>
    <s v="23a91a04p5@aect.dummy.in"/>
  </r>
  <r>
    <x v="39"/>
    <n v="4"/>
    <n v="0"/>
    <n v="0"/>
    <n v="5"/>
    <n v="1"/>
    <n v="4"/>
    <n v="3"/>
    <x v="1"/>
    <n v="169"/>
    <n v="736091"/>
    <n v="53"/>
    <n v="91"/>
    <n v="93"/>
    <s v="23a91a0501@aect.dummy.in"/>
  </r>
  <r>
    <x v="40"/>
    <n v="3"/>
    <n v="3"/>
    <n v="1"/>
    <n v="1"/>
    <n v="3"/>
    <n v="6"/>
    <n v="2"/>
    <x v="2"/>
    <n v="304"/>
    <n v="351689"/>
    <n v="179"/>
    <n v="441"/>
    <n v="0"/>
    <s v="23a91a0502@aect.dummy.in"/>
  </r>
  <r>
    <x v="41"/>
    <n v="5"/>
    <n v="0"/>
    <n v="0"/>
    <n v="2"/>
    <n v="4"/>
    <n v="4"/>
    <n v="2"/>
    <x v="3"/>
    <n v="45"/>
    <n v="2122860"/>
    <n v="6"/>
    <n v="12"/>
    <n v="173"/>
    <s v="23a91a0504@aect.dummy.in"/>
  </r>
  <r>
    <x v="42"/>
    <n v="5"/>
    <n v="0"/>
    <n v="4"/>
    <n v="4"/>
    <n v="3"/>
    <n v="5"/>
    <n v="1"/>
    <x v="4"/>
    <n v="7"/>
    <n v="5000001"/>
    <n v="34"/>
    <n v="51"/>
    <n v="169"/>
    <s v="23a91a0506@aect.dummy.in"/>
  </r>
  <r>
    <x v="43"/>
    <n v="3"/>
    <n v="2"/>
    <n v="4"/>
    <n v="4"/>
    <n v="4"/>
    <n v="6"/>
    <n v="1"/>
    <x v="4"/>
    <n v="373"/>
    <n v="253991"/>
    <n v="173"/>
    <n v="423"/>
    <n v="204"/>
    <s v="23a91a0507@aect.dummy.in"/>
  </r>
  <r>
    <x v="44"/>
    <n v="5"/>
    <n v="0"/>
    <n v="4"/>
    <n v="4"/>
    <n v="5"/>
    <n v="5"/>
    <n v="1"/>
    <x v="4"/>
    <n v="83"/>
    <n v="1391806"/>
    <n v="3"/>
    <n v="5"/>
    <n v="355"/>
    <s v="23a91a0509@aect.dummy.in"/>
  </r>
  <r>
    <x v="45"/>
    <n v="4"/>
    <n v="0"/>
    <n v="2"/>
    <n v="3"/>
    <n v="3"/>
    <n v="5"/>
    <n v="2"/>
    <x v="2"/>
    <n v="153"/>
    <n v="816883"/>
    <n v="48"/>
    <n v="84"/>
    <n v="236"/>
    <s v="23a91a0510@aect.dummy.in"/>
  </r>
  <r>
    <x v="46"/>
    <n v="5"/>
    <n v="0"/>
    <n v="0"/>
    <n v="5"/>
    <n v="5"/>
    <n v="4"/>
    <n v="3"/>
    <x v="5"/>
    <n v="0"/>
    <n v="5000001"/>
    <n v="0"/>
    <n v="0"/>
    <n v="0"/>
    <s v="23a91a0512@aect.dummy.in"/>
  </r>
  <r>
    <x v="47"/>
    <n v="2"/>
    <n v="4"/>
    <n v="0"/>
    <n v="0"/>
    <n v="4"/>
    <n v="4"/>
    <n v="2"/>
    <x v="2"/>
    <n v="210"/>
    <n v="576223"/>
    <n v="56"/>
    <n v="67"/>
    <n v="75"/>
    <s v="23a91a0515@aect.dummy.in"/>
  </r>
  <r>
    <x v="48"/>
    <n v="4"/>
    <n v="0"/>
    <n v="3"/>
    <n v="0"/>
    <n v="4"/>
    <n v="4"/>
    <n v="2"/>
    <x v="2"/>
    <n v="102"/>
    <n v="1186403"/>
    <n v="4"/>
    <n v="6"/>
    <n v="428"/>
    <s v="23a91a0517@aect.dummy.in"/>
  </r>
  <r>
    <x v="49"/>
    <n v="3"/>
    <n v="2"/>
    <n v="1"/>
    <n v="3"/>
    <n v="4"/>
    <n v="6"/>
    <n v="2"/>
    <x v="2"/>
    <n v="158"/>
    <n v="789920"/>
    <n v="97"/>
    <n v="195"/>
    <n v="193"/>
    <s v="23a91a0519@aect.dummy.in"/>
  </r>
  <r>
    <x v="50"/>
    <n v="4"/>
    <n v="0"/>
    <n v="2"/>
    <n v="2"/>
    <n v="3"/>
    <n v="5"/>
    <n v="3"/>
    <x v="6"/>
    <n v="64"/>
    <n v="1678478"/>
    <n v="11"/>
    <n v="15"/>
    <n v="163"/>
    <s v="23a91a0522@aect.dummy.in"/>
  </r>
  <r>
    <x v="51"/>
    <n v="3"/>
    <n v="0"/>
    <n v="0"/>
    <n v="4"/>
    <n v="5"/>
    <n v="4"/>
    <n v="2"/>
    <x v="2"/>
    <n v="99"/>
    <n v="1217917"/>
    <n v="2"/>
    <n v="3"/>
    <n v="117"/>
    <s v="23a91a0524@aect.dummy.in"/>
  </r>
  <r>
    <x v="52"/>
    <n v="4"/>
    <n v="3"/>
    <n v="2"/>
    <n v="3"/>
    <n v="5"/>
    <n v="6"/>
    <n v="2"/>
    <x v="2"/>
    <n v="114"/>
    <n v="1078126"/>
    <n v="65"/>
    <n v="113"/>
    <n v="404"/>
    <s v="23a91a0525@aect.dummy.in"/>
  </r>
  <r>
    <x v="53"/>
    <n v="5"/>
    <n v="0"/>
    <n v="0"/>
    <n v="2"/>
    <n v="4"/>
    <n v="4"/>
    <n v="2"/>
    <x v="2"/>
    <n v="81"/>
    <n v="1417140"/>
    <n v="0"/>
    <n v="0"/>
    <n v="18"/>
    <s v="23a91a0526@aect.dummy.in"/>
  </r>
  <r>
    <x v="54"/>
    <n v="4"/>
    <n v="4"/>
    <n v="1"/>
    <n v="3"/>
    <n v="4"/>
    <n v="6"/>
    <n v="2"/>
    <x v="2"/>
    <n v="161"/>
    <n v="774594"/>
    <n v="0"/>
    <n v="0"/>
    <n v="48"/>
    <s v="23a91a0529@aect.dummy.in"/>
  </r>
  <r>
    <x v="55"/>
    <n v="5"/>
    <n v="0"/>
    <n v="0"/>
    <n v="5"/>
    <n v="0"/>
    <n v="3"/>
    <n v="3"/>
    <x v="7"/>
    <n v="1"/>
    <n v="5000001"/>
    <n v="0"/>
    <n v="0"/>
    <n v="813"/>
    <s v="23a91a0532@aect.dummy.in"/>
  </r>
  <r>
    <x v="56"/>
    <n v="3"/>
    <n v="1"/>
    <n v="1"/>
    <n v="1"/>
    <n v="4"/>
    <n v="6"/>
    <n v="2"/>
    <x v="2"/>
    <n v="211"/>
    <n v="572846"/>
    <n v="86"/>
    <n v="153"/>
    <n v="82"/>
    <s v="23a91a0534@aect.dummy.in"/>
  </r>
  <r>
    <x v="57"/>
    <n v="4"/>
    <n v="0"/>
    <n v="2"/>
    <n v="2"/>
    <n v="5"/>
    <n v="5"/>
    <n v="1"/>
    <x v="8"/>
    <n v="172"/>
    <n v="722402"/>
    <n v="4"/>
    <n v="8"/>
    <n v="299"/>
    <s v="23a91a0536@aect.dummy.in"/>
  </r>
  <r>
    <x v="58"/>
    <n v="4"/>
    <n v="0"/>
    <n v="2"/>
    <n v="3"/>
    <n v="4"/>
    <n v="5"/>
    <n v="0"/>
    <x v="0"/>
    <n v="149"/>
    <n v="840702"/>
    <n v="15"/>
    <n v="31"/>
    <n v="207"/>
    <s v="23a91a0539@aect.dummy.in"/>
  </r>
  <r>
    <x v="59"/>
    <n v="3"/>
    <n v="0"/>
    <n v="0"/>
    <n v="0"/>
    <n v="3"/>
    <n v="2"/>
    <n v="2"/>
    <x v="2"/>
    <n v="231"/>
    <n v="511734"/>
    <n v="38"/>
    <n v="96"/>
    <n v="73"/>
    <s v="23a91a0545@aect.dummy.in"/>
  </r>
  <r>
    <x v="60"/>
    <n v="5"/>
    <n v="0"/>
    <n v="5"/>
    <n v="5"/>
    <n v="5"/>
    <n v="5"/>
    <n v="1"/>
    <x v="4"/>
    <n v="26"/>
    <n v="2881500"/>
    <n v="0"/>
    <n v="0"/>
    <n v="411"/>
    <s v="23a91a0546@aect.dummy.in"/>
  </r>
  <r>
    <x v="61"/>
    <n v="5"/>
    <n v="0"/>
    <n v="0"/>
    <n v="1"/>
    <n v="5"/>
    <n v="4"/>
    <n v="1"/>
    <x v="4"/>
    <n v="0"/>
    <n v="5000001"/>
    <n v="26"/>
    <n v="100"/>
    <n v="43"/>
    <s v="23a91a0549@aect.dummy.in"/>
  </r>
  <r>
    <x v="62"/>
    <n v="3"/>
    <n v="2"/>
    <n v="0"/>
    <n v="2"/>
    <n v="2"/>
    <n v="5"/>
    <n v="1"/>
    <x v="4"/>
    <n v="100"/>
    <n v="1207804"/>
    <n v="6"/>
    <n v="9"/>
    <n v="202"/>
    <s v="23a91a0554@aect.dummy.in"/>
  </r>
  <r>
    <x v="63"/>
    <n v="4"/>
    <n v="0"/>
    <n v="1"/>
    <n v="3"/>
    <n v="5"/>
    <n v="5"/>
    <n v="2"/>
    <x v="2"/>
    <n v="181"/>
    <n v="683671"/>
    <n v="106"/>
    <n v="222"/>
    <n v="0"/>
    <s v="23a91a0556@aect.dummy.in"/>
  </r>
  <r>
    <x v="64"/>
    <n v="5"/>
    <n v="3"/>
    <n v="4"/>
    <n v="4"/>
    <n v="5"/>
    <n v="6"/>
    <n v="3"/>
    <x v="9"/>
    <n v="65"/>
    <n v="1660776"/>
    <n v="4"/>
    <n v="10"/>
    <n v="336"/>
    <s v="23a91a0559@aect.dummy.in"/>
  </r>
  <r>
    <x v="65"/>
    <n v="4"/>
    <n v="0"/>
    <n v="0"/>
    <n v="0"/>
    <n v="3"/>
    <n v="2"/>
    <n v="3"/>
    <x v="10"/>
    <n v="372"/>
    <n v="255203"/>
    <n v="15"/>
    <n v="35"/>
    <n v="164"/>
    <s v="23a91a0560@aect.dummy.in"/>
  </r>
  <r>
    <x v="66"/>
    <n v="3"/>
    <n v="4"/>
    <n v="3"/>
    <n v="4"/>
    <n v="5"/>
    <n v="5"/>
    <n v="2"/>
    <x v="2"/>
    <n v="372"/>
    <n v="255172"/>
    <n v="8"/>
    <n v="21"/>
    <n v="336"/>
    <s v="23a91a0561@aect.dummy.in"/>
  </r>
  <r>
    <x v="67"/>
    <n v="4"/>
    <n v="5"/>
    <n v="0"/>
    <n v="4"/>
    <n v="5"/>
    <n v="5"/>
    <n v="4"/>
    <x v="11"/>
    <n v="233"/>
    <n v="506237"/>
    <n v="155"/>
    <n v="360"/>
    <n v="268"/>
    <s v="23a91a0562@aect.dummy.in"/>
  </r>
  <r>
    <x v="68"/>
    <n v="5"/>
    <n v="0"/>
    <n v="5"/>
    <n v="5"/>
    <n v="5"/>
    <n v="5"/>
    <n v="1"/>
    <x v="4"/>
    <n v="261"/>
    <n v="435881"/>
    <n v="129"/>
    <n v="348"/>
    <n v="406"/>
    <s v="23a91a0565@aect.dummy.in"/>
  </r>
  <r>
    <x v="69"/>
    <n v="3"/>
    <n v="0"/>
    <n v="0"/>
    <n v="0"/>
    <n v="5"/>
    <n v="2"/>
    <n v="2"/>
    <x v="12"/>
    <n v="11"/>
    <n v="4298173"/>
    <n v="0"/>
    <n v="0"/>
    <n v="66"/>
    <s v="23a91a0566@aect.dummy.in"/>
  </r>
  <r>
    <x v="70"/>
    <n v="5"/>
    <n v="0"/>
    <n v="1"/>
    <n v="5"/>
    <n v="0"/>
    <n v="4"/>
    <n v="4"/>
    <x v="13"/>
    <n v="28"/>
    <n v="2780649"/>
    <n v="5"/>
    <n v="9"/>
    <n v="0"/>
    <s v="23a91a0572@aect.dummy.in"/>
  </r>
  <r>
    <x v="71"/>
    <n v="4"/>
    <n v="4"/>
    <n v="4"/>
    <n v="4"/>
    <n v="5"/>
    <n v="6"/>
    <n v="1"/>
    <x v="4"/>
    <n v="563"/>
    <n v="112533"/>
    <n v="313"/>
    <n v="938"/>
    <n v="155"/>
    <s v="23a91a0576@aect.dummy.in"/>
  </r>
  <r>
    <x v="72"/>
    <n v="5"/>
    <n v="0"/>
    <n v="0"/>
    <n v="2"/>
    <n v="4"/>
    <n v="4"/>
    <n v="2"/>
    <x v="2"/>
    <n v="91"/>
    <n v="1298743"/>
    <n v="7"/>
    <n v="15"/>
    <n v="231"/>
    <s v="23a91a0577@aect.dummy.in"/>
  </r>
  <r>
    <x v="73"/>
    <n v="5"/>
    <n v="0"/>
    <n v="2"/>
    <n v="3"/>
    <n v="2"/>
    <n v="5"/>
    <n v="2"/>
    <x v="12"/>
    <n v="150"/>
    <n v="834669"/>
    <n v="52"/>
    <n v="77"/>
    <n v="353"/>
    <s v="23a91a0578@aect.dummy.in"/>
  </r>
  <r>
    <x v="74"/>
    <n v="5"/>
    <n v="0"/>
    <n v="3"/>
    <n v="5"/>
    <n v="5"/>
    <n v="5"/>
    <n v="0"/>
    <x v="0"/>
    <n v="26"/>
    <n v="2891740"/>
    <n v="104"/>
    <n v="327"/>
    <n v="502"/>
    <s v="23a91a0579@aect.dummy.in"/>
  </r>
  <r>
    <x v="75"/>
    <n v="4"/>
    <n v="1"/>
    <n v="0"/>
    <n v="1"/>
    <n v="5"/>
    <n v="5"/>
    <n v="1"/>
    <x v="4"/>
    <n v="336"/>
    <n v="301341"/>
    <n v="0"/>
    <n v="0"/>
    <n v="50"/>
    <s v="23a91a0581@aect.dummy.in"/>
  </r>
  <r>
    <x v="76"/>
    <n v="4"/>
    <n v="0"/>
    <n v="1"/>
    <n v="1"/>
    <n v="3"/>
    <n v="5"/>
    <n v="2"/>
    <x v="2"/>
    <n v="252"/>
    <n v="456997"/>
    <n v="29"/>
    <n v="70"/>
    <n v="68"/>
    <s v="23a91a0582@aect.dummy.in"/>
  </r>
  <r>
    <x v="77"/>
    <n v="5"/>
    <n v="4"/>
    <n v="1"/>
    <n v="3"/>
    <n v="4"/>
    <n v="6"/>
    <n v="3"/>
    <x v="14"/>
    <n v="332"/>
    <n v="307116"/>
    <n v="210"/>
    <n v="404"/>
    <n v="1114"/>
    <s v="23a91a0585@aect.dummy.in"/>
  </r>
  <r>
    <x v="78"/>
    <n v="4"/>
    <n v="0"/>
    <n v="0"/>
    <n v="3"/>
    <n v="4"/>
    <n v="4"/>
    <n v="3"/>
    <x v="15"/>
    <n v="133"/>
    <n v="938128"/>
    <n v="65"/>
    <n v="137"/>
    <n v="319"/>
    <s v="23a91a0594@aect.dummy.in"/>
  </r>
  <r>
    <x v="79"/>
    <n v="5"/>
    <n v="0"/>
    <n v="3"/>
    <n v="2"/>
    <n v="5"/>
    <n v="5"/>
    <n v="3"/>
    <x v="16"/>
    <n v="288"/>
    <n v="383742"/>
    <n v="126"/>
    <n v="394"/>
    <n v="795"/>
    <s v="23a91a0595@aect.dummy.in"/>
  </r>
  <r>
    <x v="80"/>
    <n v="5"/>
    <n v="0"/>
    <n v="0"/>
    <n v="0"/>
    <n v="4"/>
    <n v="3"/>
    <n v="2"/>
    <x v="2"/>
    <n v="149"/>
    <n v="846262"/>
    <n v="0"/>
    <n v="0"/>
    <n v="438"/>
    <s v="23a91a0598@aect.dummy.in"/>
  </r>
  <r>
    <x v="81"/>
    <n v="0"/>
    <n v="0"/>
    <n v="0"/>
    <n v="0"/>
    <n v="0"/>
    <n v="0"/>
    <n v="0"/>
    <x v="0"/>
    <n v="31"/>
    <n v="2624758"/>
    <n v="1"/>
    <n v="2"/>
    <n v="322"/>
    <s v="23a91a05a5@aect.dummy.in"/>
  </r>
  <r>
    <x v="82"/>
    <n v="5"/>
    <n v="2"/>
    <n v="3"/>
    <n v="3"/>
    <n v="5"/>
    <n v="6"/>
    <n v="3"/>
    <x v="17"/>
    <n v="251"/>
    <n v="459517"/>
    <n v="171"/>
    <n v="430"/>
    <n v="684"/>
    <s v="23a91a05a7@aect.dummy.in"/>
  </r>
  <r>
    <x v="83"/>
    <n v="5"/>
    <n v="0"/>
    <n v="0"/>
    <n v="2"/>
    <n v="3"/>
    <n v="4"/>
    <n v="2"/>
    <x v="2"/>
    <n v="16"/>
    <n v="3657810"/>
    <n v="0"/>
    <n v="0"/>
    <n v="8"/>
    <s v="23a91a05b1@aect.dummy.in"/>
  </r>
  <r>
    <x v="84"/>
    <n v="2"/>
    <n v="3"/>
    <n v="1"/>
    <n v="1"/>
    <n v="1"/>
    <n v="6"/>
    <n v="1"/>
    <x v="4"/>
    <n v="85"/>
    <n v="1367222"/>
    <n v="5"/>
    <n v="11"/>
    <n v="56"/>
    <s v="23a91a05b2@aect.dummy.in"/>
  </r>
  <r>
    <x v="85"/>
    <n v="4"/>
    <n v="1"/>
    <n v="2"/>
    <n v="2"/>
    <n v="4"/>
    <n v="6"/>
    <n v="2"/>
    <x v="2"/>
    <n v="107"/>
    <n v="1138564"/>
    <n v="54"/>
    <n v="91"/>
    <n v="369"/>
    <s v="23a91a05b6@aect.dummy.in"/>
  </r>
  <r>
    <x v="86"/>
    <n v="5"/>
    <n v="0"/>
    <n v="1"/>
    <n v="1"/>
    <n v="4"/>
    <n v="5"/>
    <n v="0"/>
    <x v="0"/>
    <n v="193"/>
    <n v="636814"/>
    <n v="54"/>
    <n v="85"/>
    <n v="587"/>
    <s v="23a91a05c0@aect.dummy.in"/>
  </r>
  <r>
    <x v="87"/>
    <n v="4"/>
    <n v="0"/>
    <n v="0"/>
    <n v="3"/>
    <n v="4"/>
    <n v="4"/>
    <n v="3"/>
    <x v="15"/>
    <n v="144"/>
    <n v="869326"/>
    <n v="84"/>
    <n v="157"/>
    <n v="299"/>
    <s v="23a91a05c4@aect.dummy.in"/>
  </r>
  <r>
    <x v="88"/>
    <n v="4"/>
    <n v="3"/>
    <n v="1"/>
    <n v="2"/>
    <n v="4"/>
    <n v="6"/>
    <n v="4"/>
    <x v="18"/>
    <n v="455"/>
    <n v="177288"/>
    <n v="340"/>
    <n v="686"/>
    <n v="317"/>
    <s v="23a91a05c5@aect.dummy.in"/>
  </r>
  <r>
    <x v="89"/>
    <n v="4"/>
    <n v="3"/>
    <n v="1"/>
    <n v="1"/>
    <n v="0"/>
    <n v="5"/>
    <n v="1"/>
    <x v="4"/>
    <n v="66"/>
    <n v="1643001"/>
    <n v="69"/>
    <n v="165"/>
    <n v="669"/>
    <s v="23a91a05d6@aect.dummy.in"/>
  </r>
  <r>
    <x v="90"/>
    <n v="5"/>
    <n v="2"/>
    <n v="0"/>
    <n v="0"/>
    <n v="4"/>
    <n v="4"/>
    <n v="1"/>
    <x v="4"/>
    <n v="20"/>
    <n v="3305800"/>
    <n v="0"/>
    <n v="0"/>
    <n v="218"/>
    <s v="23a91a05d7@aect.dummy.in"/>
  </r>
  <r>
    <x v="91"/>
    <n v="4"/>
    <n v="0"/>
    <n v="0"/>
    <n v="3"/>
    <n v="4"/>
    <n v="4"/>
    <n v="1"/>
    <x v="4"/>
    <n v="252"/>
    <n v="456996"/>
    <n v="28"/>
    <n v="78"/>
    <n v="80"/>
    <s v="23a91a05e1@aect.dummy.in"/>
  </r>
  <r>
    <x v="92"/>
    <n v="5"/>
    <n v="0"/>
    <n v="1"/>
    <n v="1"/>
    <n v="1"/>
    <n v="5"/>
    <n v="1"/>
    <x v="4"/>
    <n v="9"/>
    <n v="4648225"/>
    <n v="0"/>
    <n v="0"/>
    <n v="22"/>
    <s v="23a91a05e4@aect.dummy.in"/>
  </r>
  <r>
    <x v="93"/>
    <n v="4"/>
    <n v="4"/>
    <n v="3"/>
    <n v="3"/>
    <n v="4"/>
    <n v="6"/>
    <n v="2"/>
    <x v="2"/>
    <n v="310"/>
    <n v="341426"/>
    <n v="105"/>
    <n v="245"/>
    <n v="89"/>
    <s v="23a91a05e5@aect.dummy.in"/>
  </r>
  <r>
    <x v="94"/>
    <n v="5"/>
    <n v="0"/>
    <n v="0"/>
    <n v="3"/>
    <n v="0"/>
    <n v="3"/>
    <n v="1"/>
    <x v="4"/>
    <n v="1"/>
    <n v="5000001"/>
    <n v="0"/>
    <n v="0"/>
    <n v="31"/>
    <s v="23a91a05e6@aect.dummy.in"/>
  </r>
  <r>
    <x v="95"/>
    <n v="4"/>
    <n v="0"/>
    <n v="0"/>
    <n v="0"/>
    <n v="4"/>
    <n v="3"/>
    <n v="2"/>
    <x v="19"/>
    <n v="176"/>
    <n v="704638"/>
    <n v="26"/>
    <n v="81"/>
    <n v="133"/>
    <s v="23a91a05f3@aect.dummy.in"/>
  </r>
  <r>
    <x v="96"/>
    <n v="4"/>
    <n v="1"/>
    <n v="0"/>
    <n v="3"/>
    <n v="5"/>
    <n v="5"/>
    <n v="1"/>
    <x v="4"/>
    <n v="337"/>
    <n v="299954"/>
    <n v="10"/>
    <n v="23"/>
    <n v="267"/>
    <s v="23a91a05f4@aect.dummy.in"/>
  </r>
  <r>
    <x v="97"/>
    <n v="5"/>
    <n v="0"/>
    <n v="0"/>
    <n v="1"/>
    <n v="5"/>
    <n v="4"/>
    <n v="2"/>
    <x v="2"/>
    <n v="138"/>
    <n v="905941"/>
    <n v="119"/>
    <n v="186"/>
    <n v="530"/>
    <s v="23a91a05f5@aect.dummy.in"/>
  </r>
  <r>
    <x v="98"/>
    <n v="5"/>
    <n v="0"/>
    <n v="0"/>
    <n v="0"/>
    <n v="5"/>
    <n v="3"/>
    <n v="3"/>
    <x v="20"/>
    <n v="23"/>
    <n v="3065960"/>
    <n v="0"/>
    <n v="0"/>
    <n v="161"/>
    <s v="23a91a05f8@aect.dummy.in"/>
  </r>
  <r>
    <x v="99"/>
    <n v="2"/>
    <n v="0"/>
    <n v="1"/>
    <n v="0"/>
    <n v="0"/>
    <n v="2"/>
    <n v="0"/>
    <x v="0"/>
    <n v="7"/>
    <n v="5000001"/>
    <n v="6"/>
    <n v="10"/>
    <n v="152"/>
    <s v="23a91a05g3@aect.dummy.in"/>
  </r>
  <r>
    <x v="100"/>
    <n v="4"/>
    <n v="0"/>
    <n v="1"/>
    <n v="3"/>
    <n v="0"/>
    <n v="4"/>
    <n v="0"/>
    <x v="0"/>
    <n v="0"/>
    <n v="5000001"/>
    <n v="1"/>
    <n v="1"/>
    <n v="47"/>
    <s v="23a91a05g5@aect.dummy.in"/>
  </r>
  <r>
    <x v="101"/>
    <n v="3"/>
    <n v="0"/>
    <n v="0"/>
    <n v="0"/>
    <n v="0"/>
    <n v="1"/>
    <n v="1"/>
    <x v="4"/>
    <n v="0"/>
    <n v="5000001"/>
    <n v="0"/>
    <n v="0"/>
    <n v="0"/>
    <s v="23a91a05g7@aect.dummy.in"/>
  </r>
  <r>
    <x v="102"/>
    <n v="4"/>
    <n v="3"/>
    <n v="3"/>
    <n v="4"/>
    <n v="5"/>
    <n v="6"/>
    <n v="4"/>
    <x v="21"/>
    <n v="290"/>
    <n v="376441"/>
    <n v="130"/>
    <n v="321"/>
    <n v="289"/>
    <s v="23a91a05g8@aect.dummy.in"/>
  </r>
  <r>
    <x v="103"/>
    <n v="4"/>
    <n v="0"/>
    <n v="0"/>
    <n v="5"/>
    <n v="5"/>
    <n v="4"/>
    <n v="1"/>
    <x v="4"/>
    <n v="10"/>
    <n v="4466436"/>
    <n v="6"/>
    <n v="20"/>
    <n v="7"/>
    <s v="23a91a05g9@aect.dummy.in"/>
  </r>
  <r>
    <x v="104"/>
    <n v="5"/>
    <n v="0"/>
    <n v="3"/>
    <n v="3"/>
    <n v="4"/>
    <n v="5"/>
    <n v="2"/>
    <x v="2"/>
    <n v="33"/>
    <n v="2537614"/>
    <n v="2"/>
    <n v="5"/>
    <n v="259"/>
    <s v="23a91a05h2@aect.dummy.in"/>
  </r>
  <r>
    <x v="105"/>
    <n v="3"/>
    <n v="3"/>
    <n v="3"/>
    <n v="3"/>
    <n v="5"/>
    <n v="6"/>
    <n v="2"/>
    <x v="2"/>
    <n v="193"/>
    <n v="636839"/>
    <n v="185"/>
    <n v="337"/>
    <n v="762"/>
    <s v="23a91a05h8@aect.dummy.in"/>
  </r>
  <r>
    <x v="106"/>
    <n v="4"/>
    <n v="0"/>
    <n v="3"/>
    <n v="4"/>
    <n v="5"/>
    <n v="5"/>
    <n v="2"/>
    <x v="2"/>
    <n v="176"/>
    <n v="704810"/>
    <n v="115"/>
    <n v="165"/>
    <n v="358"/>
    <s v="23a91a05i0@aect.dummy.in"/>
  </r>
  <r>
    <x v="107"/>
    <n v="3"/>
    <n v="0"/>
    <n v="2"/>
    <n v="2"/>
    <n v="4"/>
    <n v="5"/>
    <n v="0"/>
    <x v="0"/>
    <n v="113"/>
    <n v="1086458"/>
    <n v="45"/>
    <n v="108"/>
    <n v="307"/>
    <s v="23a91a05i3@aect.dummy.in"/>
  </r>
  <r>
    <x v="108"/>
    <n v="4"/>
    <n v="3"/>
    <n v="5"/>
    <n v="5"/>
    <n v="5"/>
    <n v="6"/>
    <n v="0"/>
    <x v="0"/>
    <n v="278"/>
    <n v="399330"/>
    <n v="291"/>
    <n v="510"/>
    <n v="464"/>
    <s v="23a91a05i4@aect.dummy.in"/>
  </r>
  <r>
    <x v="109"/>
    <n v="4"/>
    <n v="4"/>
    <n v="3"/>
    <n v="3"/>
    <n v="3"/>
    <n v="6"/>
    <n v="2"/>
    <x v="2"/>
    <n v="321"/>
    <n v="323746"/>
    <n v="182"/>
    <n v="513"/>
    <n v="208"/>
    <s v="23a91a05i6@aect.dummy.in"/>
  </r>
  <r>
    <x v="110"/>
    <n v="5"/>
    <n v="0"/>
    <n v="3"/>
    <n v="1"/>
    <n v="3"/>
    <n v="5"/>
    <n v="2"/>
    <x v="2"/>
    <n v="22"/>
    <n v="3145436"/>
    <n v="93"/>
    <n v="325"/>
    <n v="175"/>
    <s v="23a91a05i8@aect.dummy.in"/>
  </r>
  <r>
    <x v="111"/>
    <n v="4"/>
    <n v="1"/>
    <n v="1"/>
    <n v="3"/>
    <n v="4"/>
    <n v="6"/>
    <n v="2"/>
    <x v="2"/>
    <n v="318"/>
    <n v="328445"/>
    <n v="54"/>
    <n v="137"/>
    <n v="158"/>
    <s v="23a91a05j1@aect.dummy.in"/>
  </r>
  <r>
    <x v="112"/>
    <n v="3"/>
    <n v="0"/>
    <n v="0"/>
    <n v="1"/>
    <n v="4"/>
    <n v="4"/>
    <n v="1"/>
    <x v="4"/>
    <n v="273"/>
    <n v="409624"/>
    <n v="60"/>
    <n v="180"/>
    <n v="43"/>
    <s v="23a91a05j2@aect.dummy.in"/>
  </r>
  <r>
    <x v="113"/>
    <n v="3"/>
    <n v="0"/>
    <n v="4"/>
    <n v="4"/>
    <n v="5"/>
    <n v="5"/>
    <n v="2"/>
    <x v="2"/>
    <n v="108"/>
    <n v="1129902"/>
    <n v="8"/>
    <n v="10"/>
    <n v="204"/>
    <s v="23a91a05j8@aect.dummy.in"/>
  </r>
  <r>
    <x v="114"/>
    <n v="4"/>
    <n v="5"/>
    <n v="3"/>
    <n v="4"/>
    <n v="5"/>
    <n v="6"/>
    <n v="1"/>
    <x v="4"/>
    <n v="508"/>
    <n v="141833"/>
    <n v="211"/>
    <n v="651"/>
    <n v="104"/>
    <s v="23a91a05j9@aect.dummy.in"/>
  </r>
  <r>
    <x v="115"/>
    <n v="5"/>
    <n v="4"/>
    <n v="4"/>
    <n v="4"/>
    <n v="5"/>
    <n v="6"/>
    <n v="3"/>
    <x v="6"/>
    <n v="161"/>
    <n v="774675"/>
    <n v="35"/>
    <n v="56"/>
    <n v="289"/>
    <s v="23a91a05k1@aect.dummy.in"/>
  </r>
  <r>
    <x v="116"/>
    <n v="4"/>
    <n v="0"/>
    <n v="0"/>
    <n v="0"/>
    <n v="1"/>
    <n v="3"/>
    <n v="2"/>
    <x v="2"/>
    <n v="197"/>
    <n v="622401"/>
    <n v="84"/>
    <n v="204"/>
    <n v="157"/>
    <s v="23a91a05k2@aect.dummy.in"/>
  </r>
  <r>
    <x v="117"/>
    <n v="4"/>
    <n v="0"/>
    <n v="5"/>
    <n v="0"/>
    <n v="0"/>
    <n v="3"/>
    <n v="0"/>
    <x v="0"/>
    <n v="28"/>
    <n v="2776153"/>
    <n v="0"/>
    <n v="0"/>
    <n v="32"/>
    <s v="23a91a1205@aect.dummy.in"/>
  </r>
  <r>
    <x v="118"/>
    <n v="4"/>
    <n v="2"/>
    <n v="1"/>
    <n v="0"/>
    <n v="4"/>
    <n v="5"/>
    <n v="2"/>
    <x v="2"/>
    <n v="195"/>
    <n v="629497"/>
    <n v="92"/>
    <n v="129"/>
    <n v="190"/>
    <s v="23a91a1209@aect.dummy.in"/>
  </r>
  <r>
    <x v="119"/>
    <n v="5"/>
    <n v="0"/>
    <n v="5"/>
    <n v="1"/>
    <n v="0"/>
    <n v="4"/>
    <n v="0"/>
    <x v="0"/>
    <n v="3"/>
    <n v="5000001"/>
    <n v="2"/>
    <n v="2"/>
    <n v="162"/>
    <s v="23a91a1211@aect.dummy.in"/>
  </r>
  <r>
    <x v="120"/>
    <n v="4"/>
    <n v="0"/>
    <n v="5"/>
    <n v="3"/>
    <n v="4"/>
    <n v="5"/>
    <n v="3"/>
    <x v="16"/>
    <n v="198"/>
    <n v="619048"/>
    <n v="60"/>
    <n v="135"/>
    <n v="73"/>
    <s v="23a91a1214@aect.dummy.in"/>
  </r>
  <r>
    <x v="121"/>
    <n v="3"/>
    <n v="1"/>
    <n v="0"/>
    <n v="0"/>
    <n v="0"/>
    <n v="2"/>
    <n v="0"/>
    <x v="0"/>
    <n v="3"/>
    <n v="5000001"/>
    <n v="0"/>
    <n v="0"/>
    <n v="37"/>
    <s v="23a91a1216@aect.dummy.in"/>
  </r>
  <r>
    <x v="122"/>
    <n v="5"/>
    <n v="0"/>
    <n v="2"/>
    <n v="0"/>
    <n v="1"/>
    <n v="4"/>
    <n v="2"/>
    <x v="2"/>
    <n v="188"/>
    <n v="655628"/>
    <n v="38"/>
    <n v="95"/>
    <n v="96"/>
    <s v="23a91a1220@aect.dummy.in"/>
  </r>
  <r>
    <x v="123"/>
    <n v="0"/>
    <n v="0"/>
    <n v="5"/>
    <n v="0"/>
    <n v="0"/>
    <n v="2"/>
    <n v="0"/>
    <x v="0"/>
    <n v="15"/>
    <n v="3772103"/>
    <n v="11"/>
    <n v="40"/>
    <n v="293"/>
    <s v="23a91a1225@aect.dummy.in"/>
  </r>
  <r>
    <x v="124"/>
    <n v="5"/>
    <n v="0"/>
    <n v="5"/>
    <n v="5"/>
    <n v="4"/>
    <n v="5"/>
    <n v="2"/>
    <x v="2"/>
    <n v="72"/>
    <n v="1545783"/>
    <n v="29"/>
    <n v="126"/>
    <n v="294"/>
    <s v="23a91a1226@aect.dummy.in"/>
  </r>
  <r>
    <x v="125"/>
    <n v="4"/>
    <n v="0"/>
    <n v="4"/>
    <n v="3"/>
    <n v="5"/>
    <n v="5"/>
    <n v="2"/>
    <x v="2"/>
    <n v="98"/>
    <n v="1227258"/>
    <n v="9"/>
    <n v="13"/>
    <n v="998"/>
    <s v="23a91a1228@aect.dummy.in"/>
  </r>
  <r>
    <x v="126"/>
    <n v="5"/>
    <n v="0"/>
    <n v="0"/>
    <n v="0"/>
    <n v="0"/>
    <n v="1"/>
    <n v="0"/>
    <x v="0"/>
    <n v="22"/>
    <n v="3152027"/>
    <n v="0"/>
    <n v="0"/>
    <n v="30"/>
    <s v="23a91a1229@aect.dummy.in"/>
  </r>
  <r>
    <x v="127"/>
    <n v="4"/>
    <n v="0"/>
    <n v="0"/>
    <n v="0"/>
    <n v="2"/>
    <n v="3"/>
    <n v="2"/>
    <x v="2"/>
    <n v="253"/>
    <n v="454568"/>
    <n v="128"/>
    <n v="415"/>
    <n v="350"/>
    <s v="23a91a1231@aect.dummy.in"/>
  </r>
  <r>
    <x v="128"/>
    <n v="4"/>
    <n v="0"/>
    <n v="1"/>
    <n v="0"/>
    <n v="5"/>
    <n v="4"/>
    <n v="3"/>
    <x v="17"/>
    <n v="283"/>
    <n v="389505"/>
    <n v="157"/>
    <n v="231"/>
    <n v="199"/>
    <s v="23a91a1234@aect.dummy.in"/>
  </r>
  <r>
    <x v="129"/>
    <n v="3"/>
    <n v="0"/>
    <n v="1"/>
    <n v="0"/>
    <n v="1"/>
    <n v="4"/>
    <n v="1"/>
    <x v="4"/>
    <n v="94"/>
    <n v="1266678"/>
    <n v="101"/>
    <n v="235"/>
    <n v="192"/>
    <s v="23a91a1235@aect.dummy.in"/>
  </r>
  <r>
    <x v="130"/>
    <n v="4"/>
    <n v="0"/>
    <n v="3"/>
    <n v="2"/>
    <n v="5"/>
    <n v="5"/>
    <n v="2"/>
    <x v="2"/>
    <n v="91"/>
    <n v="1299283"/>
    <n v="6"/>
    <n v="8"/>
    <n v="797"/>
    <s v="23a91a1237@aect.dummy.in"/>
  </r>
  <r>
    <x v="131"/>
    <n v="5"/>
    <n v="0"/>
    <n v="0"/>
    <n v="0"/>
    <n v="0"/>
    <n v="2"/>
    <n v="0"/>
    <x v="0"/>
    <n v="0"/>
    <n v="5000001"/>
    <n v="0"/>
    <n v="0"/>
    <n v="2"/>
    <s v="23a91a1239@aect.dummy.in"/>
  </r>
  <r>
    <x v="132"/>
    <n v="3"/>
    <n v="0"/>
    <n v="0"/>
    <n v="0"/>
    <n v="1"/>
    <n v="3"/>
    <n v="2"/>
    <x v="2"/>
    <n v="235"/>
    <n v="500760"/>
    <n v="65"/>
    <n v="154"/>
    <n v="379"/>
    <s v="23a91a1252@aect.dummy.in"/>
  </r>
  <r>
    <x v="133"/>
    <n v="5"/>
    <n v="0"/>
    <n v="0"/>
    <n v="0"/>
    <n v="0"/>
    <n v="1"/>
    <n v="0"/>
    <x v="0"/>
    <n v="4"/>
    <n v="5000001"/>
    <n v="0"/>
    <n v="0"/>
    <n v="141"/>
    <s v="23a91a1253@aect.dummy.in"/>
  </r>
  <r>
    <x v="134"/>
    <n v="5"/>
    <n v="0"/>
    <n v="1"/>
    <n v="1"/>
    <n v="2"/>
    <n v="5"/>
    <n v="2"/>
    <x v="2"/>
    <n v="189"/>
    <n v="651991"/>
    <n v="55"/>
    <n v="122"/>
    <n v="303"/>
    <s v="23a91a1258@aect.dummy.in"/>
  </r>
  <r>
    <x v="135"/>
    <n v="4"/>
    <n v="4"/>
    <n v="0"/>
    <n v="1"/>
    <n v="1"/>
    <n v="5"/>
    <n v="2"/>
    <x v="2"/>
    <n v="235"/>
    <n v="500604"/>
    <n v="38"/>
    <n v="104"/>
    <n v="67"/>
    <s v="23a91a1267@aect.dummy.in"/>
  </r>
  <r>
    <x v="136"/>
    <n v="5"/>
    <n v="0"/>
    <n v="0"/>
    <n v="0"/>
    <n v="4"/>
    <n v="2"/>
    <n v="2"/>
    <x v="2"/>
    <n v="47"/>
    <n v="2064568"/>
    <n v="9"/>
    <n v="9"/>
    <n v="545"/>
    <s v="23a91a1268@aect.dummy.in"/>
  </r>
  <r>
    <x v="137"/>
    <n v="5"/>
    <n v="1"/>
    <n v="0"/>
    <n v="0"/>
    <n v="2"/>
    <n v="3"/>
    <n v="1"/>
    <x v="4"/>
    <n v="83"/>
    <n v="1392730"/>
    <n v="59"/>
    <n v="112"/>
    <n v="215"/>
    <s v="23a91a1269@aect.dummy.in"/>
  </r>
  <r>
    <x v="138"/>
    <n v="4"/>
    <n v="0"/>
    <n v="5"/>
    <n v="2"/>
    <n v="0"/>
    <n v="4"/>
    <n v="0"/>
    <x v="0"/>
    <n v="1"/>
    <n v="5000001"/>
    <n v="0"/>
    <n v="0"/>
    <n v="65"/>
    <s v="23a91a1292@aect.dummy.in"/>
  </r>
  <r>
    <x v="139"/>
    <n v="4"/>
    <n v="0"/>
    <n v="3"/>
    <n v="3"/>
    <n v="5"/>
    <n v="5"/>
    <n v="2"/>
    <x v="2"/>
    <n v="95"/>
    <n v="1257047"/>
    <n v="2"/>
    <n v="4"/>
    <n v="930"/>
    <s v="23a91a1293@aect.dummy.in"/>
  </r>
  <r>
    <x v="140"/>
    <n v="5"/>
    <n v="0"/>
    <n v="5"/>
    <n v="0"/>
    <n v="0"/>
    <n v="3"/>
    <n v="3"/>
    <x v="22"/>
    <n v="34"/>
    <n v="2500651"/>
    <n v="0"/>
    <n v="0"/>
    <n v="167"/>
    <s v="23a91a1294@aect.dummy.in"/>
  </r>
  <r>
    <x v="141"/>
    <n v="5"/>
    <n v="0"/>
    <n v="5"/>
    <n v="4"/>
    <n v="0"/>
    <n v="4"/>
    <n v="0"/>
    <x v="0"/>
    <n v="1"/>
    <n v="5000001"/>
    <n v="2"/>
    <n v="4"/>
    <n v="131"/>
    <s v="23a91a1295@aect.dummy.in"/>
  </r>
  <r>
    <x v="142"/>
    <n v="3"/>
    <n v="0"/>
    <n v="0"/>
    <n v="0"/>
    <n v="3"/>
    <n v="2"/>
    <n v="2"/>
    <x v="2"/>
    <n v="75"/>
    <n v="1502899"/>
    <n v="5"/>
    <n v="11"/>
    <n v="57"/>
    <s v="23a91a12a6@aect.dummy.in"/>
  </r>
  <r>
    <x v="143"/>
    <n v="5"/>
    <n v="0"/>
    <n v="5"/>
    <n v="1"/>
    <n v="0"/>
    <n v="4"/>
    <n v="0"/>
    <x v="0"/>
    <n v="10"/>
    <n v="4456737"/>
    <n v="0"/>
    <n v="0"/>
    <n v="70"/>
    <s v="23a91a12a9@aect.dummy.in"/>
  </r>
  <r>
    <x v="144"/>
    <n v="3"/>
    <n v="0"/>
    <n v="3"/>
    <n v="0"/>
    <n v="2"/>
    <n v="4"/>
    <n v="2"/>
    <x v="2"/>
    <n v="205"/>
    <n v="593319"/>
    <n v="45"/>
    <n v="156"/>
    <n v="266"/>
    <s v="23a91a12c1@aect.dummy.in"/>
  </r>
  <r>
    <x v="145"/>
    <n v="5"/>
    <n v="0"/>
    <n v="5"/>
    <n v="5"/>
    <n v="0"/>
    <n v="4"/>
    <n v="0"/>
    <x v="0"/>
    <n v="11"/>
    <n v="4329215"/>
    <n v="0"/>
    <n v="0"/>
    <n v="61"/>
    <s v="23a91a12c4@aect.dummy.in"/>
  </r>
  <r>
    <x v="146"/>
    <n v="3"/>
    <n v="0"/>
    <n v="0"/>
    <n v="0"/>
    <n v="3"/>
    <n v="3"/>
    <n v="2"/>
    <x v="2"/>
    <n v="144"/>
    <n v="869353"/>
    <n v="27"/>
    <n v="93"/>
    <n v="137"/>
    <s v="23a91a12c5@aect.dummy.in"/>
  </r>
  <r>
    <x v="147"/>
    <n v="5"/>
    <n v="0"/>
    <n v="0"/>
    <n v="0"/>
    <n v="1"/>
    <n v="3"/>
    <n v="1"/>
    <x v="4"/>
    <n v="54"/>
    <n v="1880546"/>
    <n v="3"/>
    <n v="8"/>
    <n v="225"/>
    <s v="23a91a4402@aect.dummy.in"/>
  </r>
  <r>
    <x v="148"/>
    <n v="5"/>
    <n v="0"/>
    <n v="1"/>
    <n v="3"/>
    <n v="5"/>
    <n v="5"/>
    <n v="1"/>
    <x v="4"/>
    <n v="119"/>
    <n v="1039330"/>
    <n v="0"/>
    <n v="0"/>
    <n v="177"/>
    <s v="23a91a4403@aect.dummy.in"/>
  </r>
  <r>
    <x v="149"/>
    <n v="5"/>
    <n v="0"/>
    <n v="0"/>
    <n v="0"/>
    <n v="1"/>
    <n v="2"/>
    <n v="1"/>
    <x v="4"/>
    <n v="60"/>
    <n v="1751803"/>
    <n v="2"/>
    <n v="4"/>
    <n v="90"/>
    <s v="23a91a4409@aect.dummy.in"/>
  </r>
  <r>
    <x v="150"/>
    <n v="5"/>
    <n v="0"/>
    <n v="0"/>
    <n v="1"/>
    <n v="0"/>
    <n v="3"/>
    <n v="1"/>
    <x v="23"/>
    <n v="7"/>
    <n v="5000001"/>
    <n v="0"/>
    <n v="0"/>
    <n v="42"/>
    <s v="23a91a4410@aect.dummy.in"/>
  </r>
  <r>
    <x v="151"/>
    <n v="2"/>
    <n v="0"/>
    <n v="0"/>
    <n v="1"/>
    <n v="5"/>
    <n v="4"/>
    <n v="1"/>
    <x v="4"/>
    <n v="83"/>
    <n v="1392748"/>
    <n v="21"/>
    <n v="80"/>
    <n v="60"/>
    <s v="23a91a4429@aect.dummy.in"/>
  </r>
  <r>
    <x v="152"/>
    <n v="4"/>
    <n v="0"/>
    <n v="0"/>
    <n v="0"/>
    <n v="0"/>
    <n v="2"/>
    <n v="0"/>
    <x v="0"/>
    <n v="23"/>
    <n v="3066563"/>
    <n v="6"/>
    <n v="6"/>
    <n v="73"/>
    <s v="23a91a4440@aect.dummy.in"/>
  </r>
  <r>
    <x v="153"/>
    <n v="5"/>
    <n v="1"/>
    <n v="0"/>
    <n v="1"/>
    <n v="4"/>
    <n v="5"/>
    <n v="1"/>
    <x v="4"/>
    <n v="39"/>
    <n v="2308156"/>
    <n v="3"/>
    <n v="6"/>
    <n v="529"/>
    <s v="23a91a4445@aect.dummy.in"/>
  </r>
  <r>
    <x v="154"/>
    <n v="3"/>
    <n v="3"/>
    <n v="3"/>
    <n v="3"/>
    <n v="4"/>
    <n v="6"/>
    <n v="1"/>
    <x v="4"/>
    <n v="60"/>
    <n v="1753828"/>
    <n v="93"/>
    <n v="328"/>
    <n v="503"/>
    <s v="23a91a4454@aect.dummy.in"/>
  </r>
  <r>
    <x v="155"/>
    <n v="0"/>
    <n v="0"/>
    <n v="0"/>
    <n v="0"/>
    <n v="0"/>
    <n v="0"/>
    <n v="0"/>
    <x v="0"/>
    <n v="0"/>
    <n v="0"/>
    <n v="0"/>
    <n v="0"/>
    <n v="0"/>
    <s v="23a91a4459@aect.dummy.in"/>
  </r>
  <r>
    <x v="156"/>
    <n v="2"/>
    <n v="0"/>
    <n v="0"/>
    <n v="0"/>
    <n v="0"/>
    <n v="1"/>
    <n v="0"/>
    <x v="0"/>
    <n v="0"/>
    <n v="5000001"/>
    <n v="0"/>
    <n v="0"/>
    <n v="3"/>
    <s v="23a91a4465@aect.dummy.in"/>
  </r>
  <r>
    <x v="157"/>
    <n v="2"/>
    <n v="0"/>
    <n v="0"/>
    <n v="0"/>
    <n v="4"/>
    <n v="3"/>
    <n v="1"/>
    <x v="4"/>
    <n v="11"/>
    <n v="4290187"/>
    <n v="0"/>
    <n v="0"/>
    <n v="26"/>
    <s v="23a91a6105@aect.dummy.in"/>
  </r>
  <r>
    <x v="158"/>
    <n v="3"/>
    <n v="1"/>
    <n v="5"/>
    <n v="1"/>
    <n v="2"/>
    <n v="5"/>
    <n v="0"/>
    <x v="0"/>
    <n v="31"/>
    <n v="2624147"/>
    <n v="9"/>
    <n v="12"/>
    <n v="125"/>
    <s v="23a91a6108@aect.dummy.in"/>
  </r>
  <r>
    <x v="159"/>
    <n v="5"/>
    <n v="0"/>
    <n v="0"/>
    <n v="0"/>
    <n v="5"/>
    <n v="2"/>
    <n v="2"/>
    <x v="12"/>
    <n v="115"/>
    <n v="1070228"/>
    <n v="1"/>
    <n v="1"/>
    <n v="280"/>
    <s v="23a91a6112@aect.dummy.in"/>
  </r>
  <r>
    <x v="160"/>
    <n v="4"/>
    <n v="3"/>
    <n v="3"/>
    <n v="5"/>
    <n v="5"/>
    <n v="6"/>
    <n v="3"/>
    <x v="17"/>
    <n v="181"/>
    <n v="683790"/>
    <n v="110"/>
    <n v="367"/>
    <n v="325"/>
    <s v="23a91a6113@aect.dummy.in"/>
  </r>
  <r>
    <x v="161"/>
    <n v="5"/>
    <n v="0"/>
    <n v="2"/>
    <n v="5"/>
    <n v="5"/>
    <n v="5"/>
    <n v="1"/>
    <x v="4"/>
    <n v="73"/>
    <n v="1529510"/>
    <n v="0"/>
    <n v="0"/>
    <n v="75"/>
    <s v="23a91a6116@aect.dummy.in"/>
  </r>
  <r>
    <x v="162"/>
    <n v="5"/>
    <n v="0"/>
    <n v="0"/>
    <n v="0"/>
    <n v="2"/>
    <n v="3"/>
    <n v="2"/>
    <x v="3"/>
    <n v="30"/>
    <n v="2675759"/>
    <n v="6"/>
    <n v="9"/>
    <n v="234"/>
    <s v="23a91a6119@aect.dummy.in"/>
  </r>
  <r>
    <x v="163"/>
    <n v="4"/>
    <n v="0"/>
    <n v="0"/>
    <n v="0"/>
    <n v="2"/>
    <n v="3"/>
    <n v="1"/>
    <x v="4"/>
    <n v="124"/>
    <n v="1000017"/>
    <n v="46"/>
    <n v="136"/>
    <n v="302"/>
    <s v="23a91a6124@aect.dummy.in"/>
  </r>
  <r>
    <x v="164"/>
    <n v="5"/>
    <n v="0"/>
    <n v="3"/>
    <n v="3"/>
    <n v="5"/>
    <n v="5"/>
    <n v="2"/>
    <x v="2"/>
    <n v="209"/>
    <n v="579693"/>
    <n v="49"/>
    <n v="133"/>
    <n v="1044"/>
    <s v="23a91a6127@aect.dummy.in"/>
  </r>
  <r>
    <x v="165"/>
    <n v="4"/>
    <n v="0"/>
    <n v="1"/>
    <n v="0"/>
    <n v="5"/>
    <n v="4"/>
    <n v="2"/>
    <x v="24"/>
    <n v="72"/>
    <n v="1546026"/>
    <n v="0"/>
    <n v="0"/>
    <n v="411"/>
    <s v="23a91a6136@aect.dummy.in"/>
  </r>
  <r>
    <x v="166"/>
    <n v="5"/>
    <n v="0"/>
    <n v="0"/>
    <n v="0"/>
    <n v="4"/>
    <n v="2"/>
    <n v="1"/>
    <x v="4"/>
    <n v="16"/>
    <n v="3674756"/>
    <n v="28"/>
    <n v="105"/>
    <n v="65"/>
    <s v="23a91a6142@aect.dummy.in"/>
  </r>
  <r>
    <x v="167"/>
    <n v="5"/>
    <n v="0"/>
    <n v="0"/>
    <n v="2"/>
    <n v="4"/>
    <n v="4"/>
    <n v="2"/>
    <x v="2"/>
    <n v="63"/>
    <n v="1696238"/>
    <n v="11"/>
    <n v="17"/>
    <n v="364"/>
    <s v="23a91a6144@aect.dummy.in"/>
  </r>
  <r>
    <x v="168"/>
    <n v="1"/>
    <n v="0"/>
    <n v="0"/>
    <n v="0"/>
    <n v="0"/>
    <n v="2"/>
    <n v="0"/>
    <x v="0"/>
    <n v="0"/>
    <n v="5000001"/>
    <n v="0"/>
    <n v="0"/>
    <n v="115"/>
    <s v="23a91a6149@aect.dummy.in"/>
  </r>
  <r>
    <x v="169"/>
    <n v="0"/>
    <n v="0"/>
    <n v="0"/>
    <n v="0"/>
    <n v="0"/>
    <n v="0"/>
    <n v="0"/>
    <x v="0"/>
    <n v="42"/>
    <n v="2207971"/>
    <n v="10"/>
    <n v="23"/>
    <n v="244"/>
    <s v="23a91a6151@aect.dummy.in"/>
  </r>
  <r>
    <x v="170"/>
    <n v="3"/>
    <n v="2"/>
    <n v="0"/>
    <n v="2"/>
    <n v="4"/>
    <n v="5"/>
    <n v="1"/>
    <x v="4"/>
    <n v="66"/>
    <n v="1642169"/>
    <n v="79"/>
    <n v="117"/>
    <n v="480"/>
    <s v="23a91a6152@aect.dummy.in"/>
  </r>
  <r>
    <x v="171"/>
    <n v="2"/>
    <n v="0"/>
    <n v="1"/>
    <n v="0"/>
    <n v="4"/>
    <n v="3"/>
    <n v="1"/>
    <x v="4"/>
    <n v="42"/>
    <n v="2207974"/>
    <n v="7"/>
    <n v="12"/>
    <n v="259"/>
    <s v="23a91a6153@aect.dummy.in"/>
  </r>
  <r>
    <x v="172"/>
    <n v="5"/>
    <n v="0"/>
    <n v="5"/>
    <n v="1"/>
    <n v="2"/>
    <n v="5"/>
    <n v="0"/>
    <x v="0"/>
    <n v="2"/>
    <n v="5000001"/>
    <n v="1"/>
    <n v="1"/>
    <n v="115"/>
    <s v="23a91a6159@aect.dummy.in"/>
  </r>
  <r>
    <x v="173"/>
    <n v="4"/>
    <n v="1"/>
    <n v="0"/>
    <n v="0"/>
    <n v="3"/>
    <n v="4"/>
    <n v="1"/>
    <x v="4"/>
    <n v="338"/>
    <n v="298490"/>
    <n v="114"/>
    <n v="347"/>
    <n v="381"/>
    <s v="23a91a6166@aect.dummy.in"/>
  </r>
  <r>
    <x v="174"/>
    <n v="3"/>
    <n v="3"/>
    <n v="1"/>
    <n v="3"/>
    <n v="3"/>
    <n v="6"/>
    <n v="1"/>
    <x v="4"/>
    <n v="120"/>
    <n v="1031082"/>
    <n v="118"/>
    <n v="197"/>
    <n v="349"/>
    <s v="23a91a6168@aect.dummy.in"/>
  </r>
  <r>
    <x v="175"/>
    <n v="3"/>
    <n v="0"/>
    <n v="0"/>
    <n v="2"/>
    <n v="4"/>
    <n v="4"/>
    <n v="1"/>
    <x v="4"/>
    <n v="43"/>
    <n v="2176916"/>
    <n v="4"/>
    <n v="5"/>
    <n v="734"/>
    <s v="23a91a6169@aect.dummy.in"/>
  </r>
  <r>
    <x v="176"/>
    <n v="1"/>
    <n v="0"/>
    <n v="0"/>
    <n v="0"/>
    <n v="3"/>
    <n v="3"/>
    <n v="1"/>
    <x v="8"/>
    <n v="45"/>
    <n v="2117895"/>
    <n v="0"/>
    <n v="0"/>
    <n v="163"/>
    <s v="23a91a6171@aect.dummy.in"/>
  </r>
  <r>
    <x v="177"/>
    <n v="3"/>
    <n v="0"/>
    <n v="2"/>
    <n v="2"/>
    <n v="4"/>
    <n v="5"/>
    <n v="1"/>
    <x v="4"/>
    <n v="157"/>
    <n v="795383"/>
    <n v="183"/>
    <n v="404"/>
    <n v="0"/>
    <s v="23a91a6172@aect.dummy.in"/>
  </r>
  <r>
    <x v="178"/>
    <n v="4"/>
    <n v="3"/>
    <n v="2"/>
    <n v="1"/>
    <n v="4"/>
    <n v="6"/>
    <n v="1"/>
    <x v="4"/>
    <n v="226"/>
    <n v="526298"/>
    <n v="166"/>
    <n v="313"/>
    <n v="108"/>
    <s v="23a91a6181@aect.dummy.in"/>
  </r>
  <r>
    <x v="179"/>
    <n v="3"/>
    <n v="0"/>
    <n v="0"/>
    <n v="1"/>
    <n v="5"/>
    <n v="3"/>
    <n v="3"/>
    <x v="25"/>
    <n v="16"/>
    <n v="3657397"/>
    <n v="11"/>
    <n v="40"/>
    <n v="146"/>
    <s v="23a91a6188@aect.dummy.in"/>
  </r>
  <r>
    <x v="180"/>
    <n v="3"/>
    <n v="0"/>
    <n v="3"/>
    <n v="3"/>
    <n v="4"/>
    <n v="5"/>
    <n v="1"/>
    <x v="4"/>
    <n v="88"/>
    <n v="1333186"/>
    <n v="47"/>
    <n v="81"/>
    <n v="547"/>
    <s v="23a91a6191@aect.dummy.in"/>
  </r>
  <r>
    <x v="181"/>
    <n v="5"/>
    <n v="4"/>
    <n v="3"/>
    <n v="4"/>
    <n v="5"/>
    <n v="6"/>
    <n v="2"/>
    <x v="2"/>
    <n v="265"/>
    <n v="426779"/>
    <n v="89"/>
    <n v="199"/>
    <n v="162"/>
    <s v="23a91a61a0@aect.dummy.in"/>
  </r>
  <r>
    <x v="182"/>
    <n v="4"/>
    <n v="0"/>
    <n v="0"/>
    <n v="0"/>
    <n v="2"/>
    <n v="3"/>
    <n v="2"/>
    <x v="2"/>
    <n v="24"/>
    <n v="3005212"/>
    <n v="11"/>
    <n v="13"/>
    <n v="98"/>
    <s v="23a91a61a2@aect.dummy.in"/>
  </r>
  <r>
    <x v="183"/>
    <n v="1"/>
    <n v="3"/>
    <n v="0"/>
    <n v="0"/>
    <n v="2"/>
    <n v="4"/>
    <n v="2"/>
    <x v="2"/>
    <n v="83"/>
    <n v="1392066"/>
    <n v="19"/>
    <n v="23"/>
    <n v="146"/>
    <s v="23a91a61a9@aect.dummy.in"/>
  </r>
  <r>
    <x v="184"/>
    <n v="3"/>
    <n v="0"/>
    <n v="1"/>
    <n v="2"/>
    <n v="4"/>
    <n v="5"/>
    <n v="1"/>
    <x v="4"/>
    <n v="137"/>
    <n v="912090"/>
    <n v="74"/>
    <n v="216"/>
    <n v="342"/>
    <s v="23a91a61b3@aect.dummy.in"/>
  </r>
  <r>
    <x v="185"/>
    <n v="3"/>
    <n v="0"/>
    <n v="0"/>
    <n v="0"/>
    <n v="3"/>
    <n v="2"/>
    <n v="1"/>
    <x v="4"/>
    <n v="36"/>
    <n v="2415775"/>
    <n v="2"/>
    <n v="6"/>
    <n v="32"/>
    <s v="23a91a61b4@aect.dummy.in"/>
  </r>
  <r>
    <x v="186"/>
    <n v="2"/>
    <n v="0"/>
    <n v="0"/>
    <n v="0"/>
    <n v="3"/>
    <n v="3"/>
    <n v="1"/>
    <x v="4"/>
    <n v="52"/>
    <n v="1926559"/>
    <n v="58"/>
    <n v="176"/>
    <n v="92"/>
    <s v="23a91a61b7@aect.dummy.in"/>
  </r>
  <r>
    <x v="187"/>
    <n v="1"/>
    <n v="0"/>
    <n v="0"/>
    <n v="1"/>
    <n v="2"/>
    <n v="4"/>
    <n v="1"/>
    <x v="4"/>
    <n v="15"/>
    <n v="3763145"/>
    <n v="0"/>
    <n v="0"/>
    <n v="287"/>
    <s v="23a91a61c0@aect.dummy.in"/>
  </r>
  <r>
    <x v="188"/>
    <n v="3"/>
    <n v="0"/>
    <n v="0"/>
    <n v="2"/>
    <n v="4"/>
    <n v="4"/>
    <n v="1"/>
    <x v="4"/>
    <n v="81"/>
    <n v="1417386"/>
    <n v="10"/>
    <n v="18"/>
    <n v="270"/>
    <s v="23a91a61c2@aect.dummy.in"/>
  </r>
  <r>
    <x v="189"/>
    <n v="5"/>
    <n v="0"/>
    <n v="0"/>
    <n v="0"/>
    <n v="3"/>
    <n v="3"/>
    <n v="1"/>
    <x v="4"/>
    <n v="249"/>
    <n v="464531"/>
    <n v="113"/>
    <n v="303"/>
    <n v="203"/>
    <s v="23a91a61c5@aect.dummy.in"/>
  </r>
  <r>
    <x v="190"/>
    <n v="4"/>
    <n v="0"/>
    <n v="0"/>
    <n v="4"/>
    <n v="4"/>
    <n v="4"/>
    <n v="2"/>
    <x v="2"/>
    <n v="96"/>
    <n v="1245603"/>
    <n v="15"/>
    <n v="26"/>
    <n v="366"/>
    <s v="23a91a61c7@aect.dummy.in"/>
  </r>
  <r>
    <x v="191"/>
    <n v="0"/>
    <n v="0"/>
    <n v="0"/>
    <n v="0"/>
    <n v="3"/>
    <n v="1"/>
    <n v="1"/>
    <x v="4"/>
    <n v="11"/>
    <n v="4328995"/>
    <n v="0"/>
    <n v="0"/>
    <n v="293"/>
    <s v="23a91a61c8@aect.dummy.in"/>
  </r>
  <r>
    <x v="192"/>
    <n v="3"/>
    <n v="0"/>
    <n v="1"/>
    <n v="2"/>
    <n v="5"/>
    <n v="5"/>
    <n v="1"/>
    <x v="26"/>
    <n v="55"/>
    <n v="1857942"/>
    <n v="3"/>
    <n v="4"/>
    <n v="0"/>
    <s v="23a91a61d8@aect.dummy.in"/>
  </r>
  <r>
    <x v="193"/>
    <n v="2"/>
    <n v="0"/>
    <n v="0"/>
    <n v="0"/>
    <n v="5"/>
    <n v="3"/>
    <n v="1"/>
    <x v="4"/>
    <n v="36"/>
    <n v="2416563"/>
    <n v="1"/>
    <n v="4"/>
    <n v="238"/>
    <s v="23a91a61e2@aect.dummy.in"/>
  </r>
  <r>
    <x v="194"/>
    <n v="2"/>
    <n v="0"/>
    <n v="0"/>
    <n v="2"/>
    <n v="4"/>
    <n v="3"/>
    <n v="2"/>
    <x v="2"/>
    <n v="30"/>
    <n v="2673309"/>
    <n v="0"/>
    <n v="0"/>
    <n v="100"/>
    <s v="23a91a61e4@aect.dummy.in"/>
  </r>
  <r>
    <x v="195"/>
    <n v="4"/>
    <n v="0"/>
    <n v="1"/>
    <n v="1"/>
    <n v="4"/>
    <n v="5"/>
    <n v="1"/>
    <x v="4"/>
    <n v="293"/>
    <n v="370985"/>
    <n v="0"/>
    <n v="0"/>
    <n v="31"/>
    <s v="23a91a61e9@aect.dummy.in"/>
  </r>
  <r>
    <x v="196"/>
    <n v="5"/>
    <n v="0"/>
    <n v="5"/>
    <n v="0"/>
    <n v="0"/>
    <n v="2"/>
    <n v="0"/>
    <x v="0"/>
    <n v="0"/>
    <n v="5000001"/>
    <n v="4"/>
    <n v="5"/>
    <n v="0"/>
    <s v="23a91a61f2@aect.dummy.in"/>
  </r>
  <r>
    <x v="197"/>
    <n v="2"/>
    <n v="0"/>
    <n v="0"/>
    <n v="0"/>
    <n v="3"/>
    <n v="3"/>
    <n v="1"/>
    <x v="4"/>
    <n v="139"/>
    <n v="899480"/>
    <n v="0"/>
    <n v="0"/>
    <n v="785"/>
    <s v="23a91a61f7@aect.dummy.in"/>
  </r>
  <r>
    <x v="198"/>
    <n v="5"/>
    <n v="0"/>
    <n v="3"/>
    <n v="3"/>
    <n v="5"/>
    <n v="4"/>
    <n v="3"/>
    <x v="27"/>
    <n v="101"/>
    <n v="1196890"/>
    <n v="0"/>
    <n v="0"/>
    <n v="243"/>
    <s v="23a91a61g7@aect.dummy.in"/>
  </r>
  <r>
    <x v="199"/>
    <n v="3"/>
    <n v="1"/>
    <n v="2"/>
    <n v="3"/>
    <n v="4"/>
    <n v="6"/>
    <n v="1"/>
    <x v="4"/>
    <n v="345"/>
    <n v="288806"/>
    <n v="126"/>
    <n v="320"/>
    <n v="384"/>
    <s v="23a91a61g9@aect.dummy.in"/>
  </r>
  <r>
    <x v="200"/>
    <n v="0"/>
    <n v="0"/>
    <n v="0"/>
    <n v="0"/>
    <n v="0"/>
    <n v="0"/>
    <n v="0"/>
    <x v="0"/>
    <n v="302"/>
    <n v="355226"/>
    <n v="0"/>
    <n v="0"/>
    <n v="218"/>
    <s v="23a91a61h5@aect.dummy.in"/>
  </r>
  <r>
    <x v="201"/>
    <n v="4"/>
    <n v="1"/>
    <n v="1"/>
    <n v="2"/>
    <n v="4"/>
    <n v="6"/>
    <n v="2"/>
    <x v="2"/>
    <n v="91"/>
    <n v="1299134"/>
    <n v="42"/>
    <n v="75"/>
    <n v="457"/>
    <s v="23a91a61i6@aect.dummy.in"/>
  </r>
  <r>
    <x v="202"/>
    <n v="1"/>
    <n v="0"/>
    <n v="0"/>
    <n v="2"/>
    <n v="3"/>
    <n v="4"/>
    <n v="1"/>
    <x v="4"/>
    <n v="12"/>
    <n v="4146508"/>
    <n v="0"/>
    <n v="0"/>
    <n v="352"/>
    <s v="23a91a61j3@aect.dummy.in"/>
  </r>
  <r>
    <x v="203"/>
    <n v="4"/>
    <n v="0"/>
    <n v="0"/>
    <n v="0"/>
    <n v="0"/>
    <n v="2"/>
    <n v="1"/>
    <x v="4"/>
    <n v="27"/>
    <n v="2826473"/>
    <n v="10"/>
    <n v="10"/>
    <n v="294"/>
    <s v="23a91a61j5@aect.dummy.in"/>
  </r>
  <r>
    <x v="204"/>
    <n v="5"/>
    <n v="0"/>
    <n v="5"/>
    <n v="2"/>
    <n v="0"/>
    <n v="3"/>
    <n v="0"/>
    <x v="0"/>
    <n v="15"/>
    <n v="3769512"/>
    <n v="0"/>
    <n v="0"/>
    <n v="3"/>
    <s v="23a91a61j6@aect.dummy.in"/>
  </r>
  <r>
    <x v="205"/>
    <n v="0"/>
    <n v="0"/>
    <n v="0"/>
    <n v="0"/>
    <n v="0"/>
    <n v="0"/>
    <n v="0"/>
    <x v="0"/>
    <n v="0"/>
    <n v="5000001"/>
    <n v="0"/>
    <n v="0"/>
    <n v="0"/>
    <s v="23mh1a0408@aect.dummy.in"/>
  </r>
  <r>
    <x v="206"/>
    <n v="3"/>
    <n v="0"/>
    <n v="0"/>
    <n v="0"/>
    <n v="0"/>
    <n v="1"/>
    <n v="0"/>
    <x v="0"/>
    <n v="0"/>
    <n v="5000001"/>
    <n v="0"/>
    <n v="0"/>
    <n v="36"/>
    <s v="23mh1a0412@aect.dummy.in"/>
  </r>
  <r>
    <x v="207"/>
    <n v="0"/>
    <n v="0"/>
    <n v="0"/>
    <n v="0"/>
    <n v="0"/>
    <n v="0"/>
    <n v="0"/>
    <x v="0"/>
    <n v="0"/>
    <n v="5000001"/>
    <n v="0"/>
    <n v="0"/>
    <n v="17"/>
    <s v="23mh1a0422@aect.dummy.in"/>
  </r>
  <r>
    <x v="208"/>
    <n v="0"/>
    <n v="0"/>
    <n v="0"/>
    <n v="2"/>
    <n v="0"/>
    <n v="1"/>
    <n v="0"/>
    <x v="0"/>
    <n v="30"/>
    <n v="2783856"/>
    <n v="45"/>
    <n v="54"/>
    <n v="203"/>
    <s v="23mh1a0424@aect.dummy.in"/>
  </r>
  <r>
    <x v="209"/>
    <n v="0"/>
    <n v="0"/>
    <n v="0"/>
    <n v="0"/>
    <n v="0"/>
    <n v="0"/>
    <n v="0"/>
    <x v="0"/>
    <n v="0"/>
    <n v="5000001"/>
    <n v="0"/>
    <n v="0"/>
    <n v="0"/>
    <s v="23mh1a0428@aect.dummy.in"/>
  </r>
  <r>
    <x v="210"/>
    <n v="0"/>
    <n v="0"/>
    <n v="0"/>
    <n v="2"/>
    <n v="0"/>
    <n v="1"/>
    <n v="0"/>
    <x v="0"/>
    <n v="0"/>
    <n v="5000001"/>
    <n v="0"/>
    <n v="0"/>
    <n v="74"/>
    <s v="23mh1a0433@aect.dummy.in"/>
  </r>
  <r>
    <x v="211"/>
    <n v="0"/>
    <n v="0"/>
    <n v="0"/>
    <n v="0"/>
    <n v="0"/>
    <n v="0"/>
    <n v="0"/>
    <x v="0"/>
    <n v="0"/>
    <n v="5000001"/>
    <n v="0"/>
    <n v="0"/>
    <n v="21"/>
    <s v="23mh1a0435@aect.dummy.in"/>
  </r>
  <r>
    <x v="212"/>
    <n v="0"/>
    <n v="0"/>
    <n v="0"/>
    <n v="1"/>
    <n v="0"/>
    <n v="1"/>
    <n v="0"/>
    <x v="0"/>
    <n v="21"/>
    <n v="3214934"/>
    <n v="2"/>
    <n v="0"/>
    <n v="70"/>
    <s v="23mh1a0456@aect.dummy.in"/>
  </r>
  <r>
    <x v="213"/>
    <n v="0"/>
    <n v="0"/>
    <n v="0"/>
    <n v="0"/>
    <n v="0"/>
    <n v="0"/>
    <n v="0"/>
    <x v="0"/>
    <n v="0"/>
    <n v="5000001"/>
    <n v="0"/>
    <n v="0"/>
    <n v="57"/>
    <s v="23mh1a0462@aect.dummy.in"/>
  </r>
  <r>
    <x v="214"/>
    <n v="0"/>
    <n v="0"/>
    <n v="0"/>
    <n v="0"/>
    <n v="0"/>
    <n v="0"/>
    <n v="0"/>
    <x v="0"/>
    <n v="0"/>
    <n v="5000001"/>
    <n v="0"/>
    <n v="0"/>
    <n v="10"/>
    <s v="23mh1a0465@aect.dummy.in"/>
  </r>
  <r>
    <x v="215"/>
    <n v="0"/>
    <n v="0"/>
    <n v="0"/>
    <n v="0"/>
    <n v="0"/>
    <n v="0"/>
    <n v="0"/>
    <x v="0"/>
    <n v="0"/>
    <n v="5000001"/>
    <n v="0"/>
    <n v="0"/>
    <n v="255"/>
    <s v="23mh1a0476@aect.dummy.in"/>
  </r>
  <r>
    <x v="216"/>
    <n v="3"/>
    <n v="0"/>
    <n v="0"/>
    <n v="3"/>
    <n v="0"/>
    <n v="2"/>
    <n v="1"/>
    <x v="26"/>
    <n v="22"/>
    <n v="3153799"/>
    <n v="4"/>
    <n v="8"/>
    <n v="200"/>
    <s v="23mh1a0484@aect.dummy.in"/>
  </r>
  <r>
    <x v="217"/>
    <n v="0"/>
    <n v="0"/>
    <n v="0"/>
    <n v="1"/>
    <n v="0"/>
    <n v="1"/>
    <n v="0"/>
    <x v="0"/>
    <n v="0"/>
    <n v="5000001"/>
    <n v="0"/>
    <n v="0"/>
    <n v="447"/>
    <s v="23mh1a04a0@aect.dummy.in"/>
  </r>
  <r>
    <x v="218"/>
    <n v="0"/>
    <n v="0"/>
    <n v="0"/>
    <n v="0"/>
    <n v="0"/>
    <n v="0"/>
    <n v="0"/>
    <x v="0"/>
    <n v="0"/>
    <n v="5000001"/>
    <n v="0"/>
    <n v="0"/>
    <n v="138"/>
    <s v="23mh1a04g2@aect.dummy.in"/>
  </r>
  <r>
    <x v="219"/>
    <n v="0"/>
    <n v="0"/>
    <n v="0"/>
    <n v="0"/>
    <n v="0"/>
    <n v="0"/>
    <n v="0"/>
    <x v="0"/>
    <n v="0"/>
    <n v="5000001"/>
    <n v="0"/>
    <n v="0"/>
    <n v="167"/>
    <s v="23mh1a04h9@aect.dummy.in"/>
  </r>
  <r>
    <x v="220"/>
    <n v="0"/>
    <n v="0"/>
    <n v="0"/>
    <n v="0"/>
    <n v="0"/>
    <n v="0"/>
    <n v="0"/>
    <x v="0"/>
    <n v="0"/>
    <n v="5000001"/>
    <n v="0"/>
    <n v="0"/>
    <n v="0"/>
    <s v="23mh1a0510@aect.dummy.in"/>
  </r>
  <r>
    <x v="221"/>
    <n v="0"/>
    <n v="0"/>
    <n v="0"/>
    <n v="0"/>
    <n v="0"/>
    <n v="0"/>
    <n v="0"/>
    <x v="0"/>
    <n v="0"/>
    <n v="5000001"/>
    <n v="2"/>
    <n v="2"/>
    <n v="127"/>
    <s v="23mh1a0524@aect.dummy.in"/>
  </r>
  <r>
    <x v="222"/>
    <n v="0"/>
    <n v="0"/>
    <n v="0"/>
    <n v="0"/>
    <n v="0"/>
    <n v="0"/>
    <n v="0"/>
    <x v="0"/>
    <n v="0"/>
    <n v="5000001"/>
    <n v="0"/>
    <n v="0"/>
    <n v="29"/>
    <s v="23mh1a0525@aect.dummy.in"/>
  </r>
  <r>
    <x v="223"/>
    <n v="0"/>
    <n v="1"/>
    <n v="0"/>
    <n v="0"/>
    <n v="0"/>
    <n v="1"/>
    <n v="0"/>
    <x v="0"/>
    <n v="1"/>
    <n v="5000001"/>
    <n v="4"/>
    <n v="10"/>
    <n v="23"/>
    <s v="23mh1a0549@aect.dummy.in"/>
  </r>
  <r>
    <x v="224"/>
    <n v="0"/>
    <n v="0"/>
    <n v="1"/>
    <n v="1"/>
    <n v="0"/>
    <n v="2"/>
    <n v="0"/>
    <x v="0"/>
    <n v="0"/>
    <n v="5000001"/>
    <n v="0"/>
    <n v="0"/>
    <n v="32"/>
    <s v="23mh1a0553@aect.dummy.in"/>
  </r>
  <r>
    <x v="225"/>
    <n v="0"/>
    <n v="0"/>
    <n v="0"/>
    <n v="0"/>
    <n v="0"/>
    <n v="0"/>
    <n v="0"/>
    <x v="0"/>
    <n v="0"/>
    <n v="5000001"/>
    <n v="0"/>
    <n v="0"/>
    <n v="18"/>
    <s v="23mh1a0571@aect.dummy.in"/>
  </r>
  <r>
    <x v="226"/>
    <n v="0"/>
    <n v="0"/>
    <n v="0"/>
    <n v="0"/>
    <n v="0"/>
    <n v="0"/>
    <n v="0"/>
    <x v="0"/>
    <n v="0"/>
    <n v="5000001"/>
    <n v="0"/>
    <n v="0"/>
    <n v="66"/>
    <s v="23mh1a0585@aect.dummy.in"/>
  </r>
  <r>
    <x v="227"/>
    <n v="5"/>
    <n v="0"/>
    <n v="5"/>
    <n v="5"/>
    <n v="5"/>
    <n v="4"/>
    <n v="6"/>
    <x v="28"/>
    <n v="220"/>
    <n v="544409"/>
    <n v="193"/>
    <n v="642"/>
    <n v="444"/>
    <s v="23mh1a0595@aect.dummy.in"/>
  </r>
  <r>
    <x v="228"/>
    <n v="0"/>
    <n v="0"/>
    <n v="0"/>
    <n v="0"/>
    <n v="0"/>
    <n v="0"/>
    <n v="0"/>
    <x v="0"/>
    <n v="0"/>
    <n v="5000001"/>
    <n v="0"/>
    <n v="0"/>
    <n v="529"/>
    <s v="23mh1a0599@aect.dummy.in"/>
  </r>
  <r>
    <x v="229"/>
    <n v="3"/>
    <n v="0"/>
    <n v="0"/>
    <n v="5"/>
    <n v="0"/>
    <n v="3"/>
    <n v="2"/>
    <x v="29"/>
    <n v="28"/>
    <n v="2786750"/>
    <n v="2"/>
    <n v="4"/>
    <n v="250"/>
    <s v="23mh1a05c0@aect.dummy.in"/>
  </r>
  <r>
    <x v="230"/>
    <n v="0"/>
    <n v="0"/>
    <n v="5"/>
    <n v="2"/>
    <n v="4"/>
    <n v="3"/>
    <n v="1"/>
    <x v="30"/>
    <n v="16"/>
    <n v="3654870"/>
    <n v="120"/>
    <n v="378"/>
    <n v="538"/>
    <s v="23mh1a05d8@aect.dummy.in"/>
  </r>
  <r>
    <x v="231"/>
    <n v="4"/>
    <n v="0"/>
    <n v="0"/>
    <n v="2"/>
    <n v="4"/>
    <n v="3"/>
    <n v="1"/>
    <x v="4"/>
    <n v="30"/>
    <n v="2677182"/>
    <n v="9"/>
    <n v="20"/>
    <n v="119"/>
    <s v="23mh1a05e6@aect.dummy.in"/>
  </r>
  <r>
    <x v="232"/>
    <n v="3"/>
    <n v="0"/>
    <n v="3"/>
    <n v="0"/>
    <n v="3"/>
    <n v="4"/>
    <n v="4"/>
    <x v="31"/>
    <n v="137"/>
    <n v="912351"/>
    <n v="54"/>
    <n v="96"/>
    <n v="418"/>
    <s v="23mh1a05e7@aect.dummy.in"/>
  </r>
  <r>
    <x v="233"/>
    <n v="0"/>
    <n v="0"/>
    <n v="0"/>
    <n v="0"/>
    <n v="0"/>
    <n v="0"/>
    <n v="0"/>
    <x v="0"/>
    <n v="0"/>
    <n v="5000001"/>
    <n v="0"/>
    <n v="0"/>
    <n v="0"/>
    <s v="23mh1a05e9@aect.dummy.in"/>
  </r>
  <r>
    <x v="234"/>
    <n v="2"/>
    <n v="0"/>
    <n v="0"/>
    <n v="0"/>
    <n v="4"/>
    <n v="2"/>
    <n v="2"/>
    <x v="2"/>
    <n v="56"/>
    <n v="1835836"/>
    <n v="23"/>
    <n v="54"/>
    <n v="91"/>
    <s v="23mh1a05f2@aect.dummy.in"/>
  </r>
  <r>
    <x v="235"/>
    <n v="2"/>
    <n v="0"/>
    <n v="3"/>
    <n v="0"/>
    <n v="0"/>
    <n v="3"/>
    <n v="0"/>
    <x v="0"/>
    <n v="1"/>
    <n v="5000001"/>
    <n v="0"/>
    <n v="0"/>
    <n v="64"/>
    <s v="23mh1a05f4@aect.dummy.in"/>
  </r>
  <r>
    <x v="236"/>
    <n v="4"/>
    <n v="2"/>
    <n v="0"/>
    <n v="3"/>
    <n v="5"/>
    <n v="5"/>
    <n v="2"/>
    <x v="2"/>
    <n v="137"/>
    <n v="912280"/>
    <n v="50"/>
    <n v="151"/>
    <n v="235"/>
    <s v="23mh1a05f5@aect.dummy.in"/>
  </r>
  <r>
    <x v="237"/>
    <n v="3"/>
    <n v="1"/>
    <n v="1"/>
    <n v="3"/>
    <n v="2"/>
    <n v="5"/>
    <n v="2"/>
    <x v="2"/>
    <n v="111"/>
    <n v="1103134"/>
    <n v="0"/>
    <n v="0"/>
    <n v="324"/>
    <s v="23mh1a05f7@aect.dummy.in"/>
  </r>
  <r>
    <x v="238"/>
    <n v="4"/>
    <n v="3"/>
    <n v="3"/>
    <n v="3"/>
    <n v="4"/>
    <n v="6"/>
    <n v="2"/>
    <x v="2"/>
    <n v="125"/>
    <n v="993728"/>
    <n v="101"/>
    <n v="176"/>
    <n v="410"/>
    <s v="23mh1a05f9@aect.dummy.in"/>
  </r>
  <r>
    <x v="239"/>
    <n v="0"/>
    <n v="3"/>
    <n v="2"/>
    <n v="3"/>
    <n v="3"/>
    <n v="4"/>
    <n v="2"/>
    <x v="2"/>
    <n v="137"/>
    <n v="912241"/>
    <n v="53"/>
    <n v="98"/>
    <n v="221"/>
    <s v="23mh1a05g0@aect.dummy.in"/>
  </r>
  <r>
    <x v="240"/>
    <n v="0"/>
    <n v="0"/>
    <n v="0"/>
    <n v="0"/>
    <n v="0"/>
    <n v="0"/>
    <n v="0"/>
    <x v="0"/>
    <n v="0"/>
    <n v="5000001"/>
    <n v="0"/>
    <n v="0"/>
    <n v="0"/>
    <s v="23mh1a05g2@aect.dummy.in"/>
  </r>
  <r>
    <x v="241"/>
    <n v="2"/>
    <n v="0"/>
    <n v="2"/>
    <n v="1"/>
    <n v="0"/>
    <n v="4"/>
    <n v="0"/>
    <x v="0"/>
    <n v="2"/>
    <n v="5000001"/>
    <n v="0"/>
    <n v="0"/>
    <n v="21"/>
    <s v="23mh1a05g4@aect.dummy.in"/>
  </r>
  <r>
    <x v="242"/>
    <n v="0"/>
    <n v="0"/>
    <n v="0"/>
    <n v="0"/>
    <n v="1"/>
    <n v="1"/>
    <n v="0"/>
    <x v="0"/>
    <n v="0"/>
    <n v="5000001"/>
    <n v="0"/>
    <n v="0"/>
    <n v="30"/>
    <s v="23mh1a05g5@aect.dummy.in"/>
  </r>
  <r>
    <x v="243"/>
    <n v="0"/>
    <n v="0"/>
    <n v="0"/>
    <n v="0"/>
    <n v="4"/>
    <n v="2"/>
    <n v="2"/>
    <x v="2"/>
    <n v="47"/>
    <n v="2063096"/>
    <n v="0"/>
    <n v="0"/>
    <n v="0"/>
    <s v="23mh1a05g7@aect.dummy.in"/>
  </r>
  <r>
    <x v="244"/>
    <n v="1"/>
    <n v="0"/>
    <n v="1"/>
    <n v="0"/>
    <n v="0"/>
    <n v="2"/>
    <n v="0"/>
    <x v="0"/>
    <n v="19"/>
    <n v="3373127"/>
    <n v="0"/>
    <n v="0"/>
    <n v="88"/>
    <s v="23mh1a05h0@aect.dummy.in"/>
  </r>
  <r>
    <x v="245"/>
    <n v="0"/>
    <n v="0"/>
    <n v="0"/>
    <n v="0"/>
    <n v="0"/>
    <n v="0"/>
    <n v="0"/>
    <x v="0"/>
    <n v="0"/>
    <n v="5000001"/>
    <n v="0"/>
    <n v="0"/>
    <n v="0"/>
    <s v="23mh1a05h2@aect.dummy.in"/>
  </r>
  <r>
    <x v="246"/>
    <n v="0"/>
    <n v="0"/>
    <n v="0"/>
    <n v="0"/>
    <n v="0"/>
    <n v="0"/>
    <n v="0"/>
    <x v="0"/>
    <n v="1"/>
    <n v="5000001"/>
    <n v="3"/>
    <n v="5"/>
    <n v="134"/>
    <s v="23mh1a05h3@aect.dummy.in"/>
  </r>
  <r>
    <x v="247"/>
    <n v="0"/>
    <n v="0"/>
    <n v="0"/>
    <n v="0"/>
    <n v="0"/>
    <n v="1"/>
    <n v="0"/>
    <x v="0"/>
    <n v="0"/>
    <n v="5000001"/>
    <n v="0"/>
    <n v="0"/>
    <n v="9"/>
    <s v="23mh1a05h5@aect.dummy.in"/>
  </r>
  <r>
    <x v="248"/>
    <n v="2"/>
    <n v="0"/>
    <n v="0"/>
    <n v="0"/>
    <n v="0"/>
    <n v="1"/>
    <n v="0"/>
    <x v="0"/>
    <n v="0"/>
    <n v="5000001"/>
    <n v="0"/>
    <n v="0"/>
    <n v="0"/>
    <s v="23mh1a05h7@aect.dummy.in"/>
  </r>
  <r>
    <x v="249"/>
    <n v="4"/>
    <n v="3"/>
    <n v="5"/>
    <n v="3"/>
    <n v="2"/>
    <n v="5"/>
    <n v="2"/>
    <x v="2"/>
    <n v="209"/>
    <n v="579846"/>
    <n v="144"/>
    <n v="226"/>
    <n v="788"/>
    <s v="23mh1a05h8@aect.dummy.in"/>
  </r>
  <r>
    <x v="250"/>
    <n v="0"/>
    <n v="0"/>
    <n v="1"/>
    <n v="1"/>
    <n v="3"/>
    <n v="4"/>
    <n v="2"/>
    <x v="2"/>
    <n v="27"/>
    <n v="2830335"/>
    <n v="6"/>
    <n v="26"/>
    <n v="250"/>
    <s v="23mh1a05i2@aect.dummy.in"/>
  </r>
  <r>
    <x v="251"/>
    <n v="4"/>
    <n v="0"/>
    <n v="1"/>
    <n v="0"/>
    <n v="1"/>
    <n v="3"/>
    <n v="0"/>
    <x v="0"/>
    <n v="16"/>
    <n v="3657143"/>
    <n v="0"/>
    <n v="0"/>
    <n v="4"/>
    <s v="23mh1a05i3@aect.dummy.in"/>
  </r>
  <r>
    <x v="252"/>
    <n v="0"/>
    <n v="0"/>
    <n v="0"/>
    <n v="0"/>
    <n v="0"/>
    <n v="0"/>
    <n v="0"/>
    <x v="0"/>
    <n v="14"/>
    <n v="3893023"/>
    <n v="0"/>
    <n v="0"/>
    <n v="0"/>
    <s v="23mh1a05i5@aect.dummy.in"/>
  </r>
  <r>
    <x v="253"/>
    <n v="3"/>
    <n v="0"/>
    <n v="0"/>
    <n v="0"/>
    <n v="0"/>
    <n v="1"/>
    <n v="0"/>
    <x v="0"/>
    <n v="0"/>
    <n v="5000001"/>
    <n v="0"/>
    <n v="0"/>
    <n v="51"/>
    <s v="23mh1a05i6@aect.dummy.in"/>
  </r>
  <r>
    <x v="254"/>
    <n v="1"/>
    <n v="0"/>
    <n v="3"/>
    <n v="1"/>
    <n v="0"/>
    <n v="4"/>
    <n v="0"/>
    <x v="0"/>
    <n v="3"/>
    <n v="5000001"/>
    <n v="5"/>
    <n v="7"/>
    <n v="137"/>
    <s v="23mh1a05i7@aect.dummy.in"/>
  </r>
  <r>
    <x v="255"/>
    <n v="0"/>
    <n v="0"/>
    <n v="0"/>
    <n v="0"/>
    <n v="0"/>
    <n v="1"/>
    <n v="0"/>
    <x v="0"/>
    <n v="0"/>
    <n v="5000001"/>
    <n v="0"/>
    <n v="0"/>
    <n v="0"/>
    <s v="23mh1a05i9@aect.dummy.in"/>
  </r>
  <r>
    <x v="256"/>
    <n v="3"/>
    <n v="2"/>
    <n v="1"/>
    <n v="1"/>
    <n v="5"/>
    <n v="6"/>
    <n v="2"/>
    <x v="2"/>
    <n v="209"/>
    <n v="579812"/>
    <n v="255"/>
    <n v="763"/>
    <n v="694"/>
    <s v="23mh1a05j2@aect.dummy.in"/>
  </r>
  <r>
    <x v="257"/>
    <n v="3"/>
    <n v="0"/>
    <n v="2"/>
    <n v="1"/>
    <n v="0"/>
    <n v="4"/>
    <n v="0"/>
    <x v="0"/>
    <n v="1"/>
    <n v="5000001"/>
    <n v="5"/>
    <n v="14"/>
    <n v="85"/>
    <s v="23mh1a05j4@aect.dummy.in"/>
  </r>
  <r>
    <x v="258"/>
    <n v="2"/>
    <n v="0"/>
    <n v="0"/>
    <n v="0"/>
    <n v="3"/>
    <n v="2"/>
    <n v="1"/>
    <x v="4"/>
    <n v="72"/>
    <n v="1545688"/>
    <n v="28"/>
    <n v="89"/>
    <n v="550"/>
    <s v="23mh1a05j5@aect.dummy.in"/>
  </r>
  <r>
    <x v="259"/>
    <n v="0"/>
    <n v="0"/>
    <n v="0"/>
    <n v="0"/>
    <n v="0"/>
    <n v="1"/>
    <n v="0"/>
    <x v="0"/>
    <n v="0"/>
    <n v="5000001"/>
    <n v="0"/>
    <n v="0"/>
    <n v="0"/>
    <s v="23mh1a05j9@aect.dummy.in"/>
  </r>
  <r>
    <x v="260"/>
    <n v="0"/>
    <n v="0"/>
    <n v="4"/>
    <n v="1"/>
    <n v="0"/>
    <n v="2"/>
    <n v="0"/>
    <x v="0"/>
    <n v="23"/>
    <n v="3070030"/>
    <n v="40"/>
    <n v="144"/>
    <n v="494"/>
    <s v="23mh1a05k1@aect.dummy.in"/>
  </r>
  <r>
    <x v="261"/>
    <n v="1"/>
    <n v="0"/>
    <n v="0"/>
    <n v="0"/>
    <n v="0"/>
    <n v="1"/>
    <n v="0"/>
    <x v="0"/>
    <n v="6"/>
    <n v="5000001"/>
    <n v="1"/>
    <n v="1"/>
    <n v="280"/>
    <s v="23mh1a05k2@aect.dummy.in"/>
  </r>
  <r>
    <x v="262"/>
    <n v="2"/>
    <n v="0"/>
    <n v="0"/>
    <n v="1"/>
    <n v="0"/>
    <n v="2"/>
    <n v="0"/>
    <x v="0"/>
    <n v="13"/>
    <n v="4035691"/>
    <n v="0"/>
    <n v="0"/>
    <n v="31"/>
    <s v="23mh1a05k4@aect.dummy.in"/>
  </r>
  <r>
    <x v="263"/>
    <n v="0"/>
    <n v="0"/>
    <n v="0"/>
    <n v="0"/>
    <n v="0"/>
    <n v="0"/>
    <n v="0"/>
    <x v="0"/>
    <n v="1"/>
    <n v="5000001"/>
    <n v="1"/>
    <n v="1"/>
    <n v="151"/>
    <s v="23mh1a05k5@aect.dummy.in"/>
  </r>
  <r>
    <x v="264"/>
    <n v="3"/>
    <n v="0"/>
    <n v="0"/>
    <n v="1"/>
    <n v="0"/>
    <n v="2"/>
    <n v="0"/>
    <x v="0"/>
    <n v="38"/>
    <n v="2342782"/>
    <n v="131"/>
    <n v="388"/>
    <n v="87"/>
    <s v="23mh1a05k7@aect.dummy.in"/>
  </r>
  <r>
    <x v="265"/>
    <n v="3"/>
    <n v="4"/>
    <n v="3"/>
    <n v="3"/>
    <n v="3"/>
    <n v="6"/>
    <n v="7"/>
    <x v="32"/>
    <n v="180"/>
    <n v="688071"/>
    <n v="105"/>
    <n v="266"/>
    <n v="43"/>
    <s v="23mh1a05l1@aect.dummy.in"/>
  </r>
  <r>
    <x v="266"/>
    <n v="4"/>
    <n v="0"/>
    <n v="0"/>
    <n v="0"/>
    <n v="0"/>
    <n v="1"/>
    <n v="0"/>
    <x v="0"/>
    <n v="0"/>
    <n v="5000001"/>
    <n v="0"/>
    <n v="0"/>
    <n v="0"/>
    <s v="23mh1a05l2@aect.dummy.in"/>
  </r>
  <r>
    <x v="267"/>
    <n v="3"/>
    <n v="0"/>
    <n v="0"/>
    <n v="2"/>
    <n v="3"/>
    <n v="3"/>
    <n v="1"/>
    <x v="4"/>
    <n v="304"/>
    <n v="351725"/>
    <n v="87"/>
    <n v="210"/>
    <n v="330"/>
    <s v="23mh1a05l3@aect.dummy.in"/>
  </r>
  <r>
    <x v="268"/>
    <n v="2"/>
    <n v="0"/>
    <n v="0"/>
    <n v="2"/>
    <n v="2"/>
    <n v="3"/>
    <n v="1"/>
    <x v="4"/>
    <n v="161"/>
    <n v="774844"/>
    <n v="102"/>
    <n v="290"/>
    <n v="172"/>
    <s v="23mh1a05l4@aect.dummy.in"/>
  </r>
  <r>
    <x v="269"/>
    <n v="4"/>
    <n v="0"/>
    <n v="0"/>
    <n v="0"/>
    <n v="0"/>
    <n v="1"/>
    <n v="0"/>
    <x v="0"/>
    <n v="4"/>
    <n v="5000001"/>
    <n v="3"/>
    <n v="3"/>
    <n v="145"/>
    <s v="23mh1a05l8@aect.dummy.in"/>
  </r>
  <r>
    <x v="270"/>
    <n v="3"/>
    <n v="0"/>
    <n v="0"/>
    <n v="0"/>
    <n v="0"/>
    <n v="1"/>
    <n v="2"/>
    <x v="33"/>
    <n v="1"/>
    <n v="5000001"/>
    <n v="2"/>
    <n v="5"/>
    <n v="93"/>
    <s v="23mh1a05l9@aect.dummy.in"/>
  </r>
  <r>
    <x v="271"/>
    <n v="5"/>
    <n v="0"/>
    <n v="0"/>
    <n v="3"/>
    <n v="5"/>
    <n v="3"/>
    <n v="3"/>
    <x v="34"/>
    <n v="21"/>
    <n v="3214069"/>
    <n v="0"/>
    <n v="0"/>
    <n v="8"/>
    <s v="23mh1a05m0@aect.dummy.in"/>
  </r>
  <r>
    <x v="272"/>
    <n v="2"/>
    <n v="0"/>
    <n v="0"/>
    <n v="0"/>
    <n v="1"/>
    <n v="3"/>
    <n v="1"/>
    <x v="4"/>
    <n v="110"/>
    <n v="1112372"/>
    <n v="39"/>
    <n v="108"/>
    <n v="341"/>
    <s v="23mh1a05m1@aect.dummy.in"/>
  </r>
  <r>
    <x v="273"/>
    <n v="3"/>
    <n v="3"/>
    <n v="3"/>
    <n v="3"/>
    <n v="0"/>
    <n v="5"/>
    <n v="0"/>
    <x v="0"/>
    <n v="132"/>
    <n v="951853"/>
    <n v="108"/>
    <n v="283"/>
    <n v="334"/>
    <s v="23mh1a05m4@aect.dummy.in"/>
  </r>
  <r>
    <x v="274"/>
    <n v="2"/>
    <n v="0"/>
    <n v="2"/>
    <n v="0"/>
    <n v="0"/>
    <n v="3"/>
    <n v="0"/>
    <x v="0"/>
    <n v="74"/>
    <n v="1516353"/>
    <n v="2"/>
    <n v="2"/>
    <n v="462"/>
    <s v="23mh1a05m8@aect.dummy.in"/>
  </r>
  <r>
    <x v="275"/>
    <n v="4"/>
    <n v="3"/>
    <n v="0"/>
    <n v="0"/>
    <n v="1"/>
    <n v="4"/>
    <n v="1"/>
    <x v="35"/>
    <n v="34"/>
    <n v="2496175"/>
    <n v="29"/>
    <n v="60"/>
    <n v="64"/>
    <s v="23mh1a05n0@aect.dummy.in"/>
  </r>
  <r>
    <x v="276"/>
    <n v="2"/>
    <n v="0"/>
    <n v="0"/>
    <n v="0"/>
    <n v="1"/>
    <n v="2"/>
    <n v="2"/>
    <x v="3"/>
    <n v="29"/>
    <n v="2731933"/>
    <n v="2"/>
    <n v="0"/>
    <n v="61"/>
    <s v="23mh1a05n3@aect.dummy.in"/>
  </r>
  <r>
    <x v="277"/>
    <n v="0"/>
    <n v="0"/>
    <n v="0"/>
    <n v="0"/>
    <n v="0"/>
    <n v="1"/>
    <n v="0"/>
    <x v="0"/>
    <n v="0"/>
    <n v="5000001"/>
    <n v="0"/>
    <n v="0"/>
    <n v="0"/>
    <s v="23mh1a05n4@aect.dummy.in"/>
  </r>
  <r>
    <x v="278"/>
    <n v="0"/>
    <n v="0"/>
    <n v="0"/>
    <n v="0"/>
    <n v="0"/>
    <n v="0"/>
    <n v="0"/>
    <x v="0"/>
    <n v="0"/>
    <n v="5000001"/>
    <n v="0"/>
    <n v="0"/>
    <n v="28"/>
    <s v="23mh1a05n5@aect.dummy.in"/>
  </r>
  <r>
    <x v="279"/>
    <n v="4"/>
    <n v="0"/>
    <n v="1"/>
    <n v="2"/>
    <n v="0"/>
    <n v="4"/>
    <n v="0"/>
    <x v="0"/>
    <n v="2"/>
    <n v="5000001"/>
    <n v="0"/>
    <n v="0"/>
    <n v="30"/>
    <s v="23mh1a05n6@aect.dummy.in"/>
  </r>
  <r>
    <x v="280"/>
    <n v="3"/>
    <n v="0"/>
    <n v="1"/>
    <n v="3"/>
    <n v="1"/>
    <n v="5"/>
    <n v="0"/>
    <x v="0"/>
    <n v="18"/>
    <n v="3463071"/>
    <n v="103"/>
    <n v="294"/>
    <n v="421"/>
    <s v="23mh1a05n8@aect.dummy.in"/>
  </r>
  <r>
    <x v="281"/>
    <n v="3"/>
    <n v="0"/>
    <n v="3"/>
    <n v="4"/>
    <n v="0"/>
    <n v="3"/>
    <n v="0"/>
    <x v="0"/>
    <n v="9"/>
    <n v="4656435"/>
    <n v="84"/>
    <n v="262"/>
    <n v="67"/>
    <s v="23mh1a05o0@aect.dummy.in"/>
  </r>
  <r>
    <x v="282"/>
    <n v="4"/>
    <n v="0"/>
    <n v="0"/>
    <n v="0"/>
    <n v="0"/>
    <n v="1"/>
    <n v="0"/>
    <x v="0"/>
    <n v="8"/>
    <n v="4859900"/>
    <n v="1"/>
    <n v="2"/>
    <n v="15"/>
    <s v="23mh1a05o1@aect.dummy.in"/>
  </r>
  <r>
    <x v="283"/>
    <n v="1"/>
    <n v="0"/>
    <n v="0"/>
    <n v="0"/>
    <n v="0"/>
    <n v="1"/>
    <n v="0"/>
    <x v="0"/>
    <n v="0"/>
    <n v="5000001"/>
    <n v="0"/>
    <n v="0"/>
    <n v="0"/>
    <s v="23mh1a05o2@aect.dummy.in"/>
  </r>
  <r>
    <x v="284"/>
    <n v="3"/>
    <n v="0"/>
    <n v="0"/>
    <n v="4"/>
    <n v="4"/>
    <n v="3"/>
    <n v="2"/>
    <x v="2"/>
    <n v="213"/>
    <n v="566420"/>
    <n v="115"/>
    <n v="295"/>
    <n v="181"/>
    <s v="23mh1a05o3@aect.dummy.in"/>
  </r>
  <r>
    <x v="285"/>
    <n v="0"/>
    <n v="0"/>
    <n v="0"/>
    <n v="0"/>
    <n v="0"/>
    <n v="0"/>
    <n v="0"/>
    <x v="0"/>
    <n v="0"/>
    <n v="5000001"/>
    <n v="0"/>
    <n v="0"/>
    <n v="37"/>
    <s v="23mh1a05o5@aect.dummy.in"/>
  </r>
  <r>
    <x v="286"/>
    <n v="0"/>
    <n v="0"/>
    <n v="0"/>
    <n v="0"/>
    <n v="0"/>
    <n v="0"/>
    <n v="0"/>
    <x v="0"/>
    <n v="0"/>
    <n v="5000001"/>
    <n v="0"/>
    <n v="0"/>
    <n v="0"/>
    <s v="23mh1a05o6@aect.dummy.in"/>
  </r>
  <r>
    <x v="287"/>
    <n v="3"/>
    <n v="0"/>
    <n v="0"/>
    <n v="0"/>
    <n v="0"/>
    <n v="1"/>
    <n v="0"/>
    <x v="0"/>
    <n v="0"/>
    <n v="5000001"/>
    <n v="0"/>
    <n v="0"/>
    <n v="0"/>
    <s v="23mh1a05p3@aect.dummy.in"/>
  </r>
  <r>
    <x v="288"/>
    <n v="3"/>
    <n v="0"/>
    <n v="3"/>
    <n v="0"/>
    <n v="4"/>
    <n v="3"/>
    <n v="1"/>
    <x v="4"/>
    <n v="7"/>
    <n v="5000001"/>
    <n v="0"/>
    <n v="0"/>
    <n v="11"/>
    <s v="23mh1a05p4@aect.dummy.in"/>
  </r>
  <r>
    <x v="289"/>
    <n v="0"/>
    <n v="0"/>
    <n v="0"/>
    <n v="0"/>
    <n v="0"/>
    <n v="0"/>
    <n v="0"/>
    <x v="0"/>
    <n v="0"/>
    <n v="5000001"/>
    <n v="0"/>
    <n v="0"/>
    <n v="0"/>
    <s v="23mh1a05p9@aect.dummy.in"/>
  </r>
  <r>
    <x v="290"/>
    <n v="0"/>
    <n v="0"/>
    <n v="0"/>
    <n v="0"/>
    <n v="0"/>
    <n v="0"/>
    <n v="0"/>
    <x v="0"/>
    <n v="0"/>
    <n v="5000001"/>
    <n v="0"/>
    <n v="0"/>
    <n v="0"/>
    <s v="23mh1a05q8@aect.dummy.in"/>
  </r>
  <r>
    <x v="291"/>
    <n v="0"/>
    <n v="0"/>
    <n v="0"/>
    <n v="0"/>
    <n v="0"/>
    <n v="0"/>
    <n v="0"/>
    <x v="0"/>
    <n v="1"/>
    <n v="5000001"/>
    <n v="0"/>
    <n v="0"/>
    <n v="116"/>
    <s v="23mh1a05r1@aect.dummy.in"/>
  </r>
  <r>
    <x v="292"/>
    <n v="0"/>
    <n v="0"/>
    <n v="0"/>
    <n v="0"/>
    <n v="2"/>
    <n v="1"/>
    <n v="1"/>
    <x v="8"/>
    <n v="59"/>
    <n v="1775200"/>
    <n v="1"/>
    <n v="0"/>
    <n v="652"/>
    <s v="23mh1a05r5@aect.dummy.in"/>
  </r>
  <r>
    <x v="293"/>
    <n v="0"/>
    <n v="0"/>
    <n v="0"/>
    <n v="0"/>
    <n v="4"/>
    <n v="1"/>
    <n v="1"/>
    <x v="4"/>
    <n v="6"/>
    <n v="5000001"/>
    <n v="0"/>
    <n v="0"/>
    <n v="194"/>
    <s v="23mh1a05s5@aect.dummy.in"/>
  </r>
  <r>
    <x v="294"/>
    <n v="0"/>
    <n v="0"/>
    <n v="0"/>
    <n v="0"/>
    <n v="0"/>
    <n v="0"/>
    <n v="0"/>
    <x v="0"/>
    <n v="0"/>
    <n v="5000001"/>
    <n v="0"/>
    <n v="0"/>
    <n v="0"/>
    <s v="23mh1a1201@aect.dummy.in"/>
  </r>
  <r>
    <x v="295"/>
    <n v="0"/>
    <n v="0"/>
    <n v="2"/>
    <n v="1"/>
    <n v="3"/>
    <n v="4"/>
    <n v="2"/>
    <x v="2"/>
    <n v="42"/>
    <n v="2208799"/>
    <n v="0"/>
    <n v="0"/>
    <n v="135"/>
    <s v="23mh1a1220@aect.dummy.in"/>
  </r>
  <r>
    <x v="296"/>
    <n v="0"/>
    <n v="0"/>
    <n v="0"/>
    <n v="2"/>
    <n v="0"/>
    <n v="1"/>
    <n v="0"/>
    <x v="0"/>
    <n v="4"/>
    <n v="5000001"/>
    <n v="8"/>
    <n v="15"/>
    <n v="234"/>
    <s v="23mh1a1227@aect.dummy.in"/>
  </r>
  <r>
    <x v="297"/>
    <n v="0"/>
    <n v="0"/>
    <n v="3"/>
    <n v="0"/>
    <n v="0"/>
    <n v="1"/>
    <n v="0"/>
    <x v="0"/>
    <n v="34"/>
    <n v="2500747"/>
    <n v="1"/>
    <n v="0"/>
    <n v="182"/>
    <s v="23mh1a1241@aect.dummy.in"/>
  </r>
  <r>
    <x v="298"/>
    <n v="5"/>
    <n v="0"/>
    <n v="2"/>
    <n v="3"/>
    <n v="5"/>
    <n v="5"/>
    <n v="4"/>
    <x v="36"/>
    <n v="137"/>
    <n v="912242"/>
    <n v="98"/>
    <n v="371"/>
    <n v="668"/>
    <s v="23mh1a1242@aect.dummy.in"/>
  </r>
  <r>
    <x v="299"/>
    <n v="0"/>
    <n v="0"/>
    <n v="0"/>
    <n v="0"/>
    <n v="0"/>
    <n v="0"/>
    <n v="1"/>
    <x v="26"/>
    <n v="0"/>
    <n v="5000001"/>
    <n v="0"/>
    <n v="0"/>
    <n v="0"/>
    <s v="23mh1a1249@aect.dummy.in"/>
  </r>
  <r>
    <x v="300"/>
    <n v="2"/>
    <n v="0"/>
    <n v="1"/>
    <n v="0"/>
    <n v="5"/>
    <n v="3"/>
    <n v="3"/>
    <x v="16"/>
    <n v="59"/>
    <n v="1775969"/>
    <n v="71"/>
    <n v="91"/>
    <n v="129"/>
    <s v="23mh1a1252@aect.dummy.in"/>
  </r>
  <r>
    <x v="301"/>
    <n v="0"/>
    <n v="0"/>
    <n v="0"/>
    <n v="0"/>
    <n v="3"/>
    <n v="1"/>
    <n v="1"/>
    <x v="4"/>
    <n v="6"/>
    <n v="5000001"/>
    <n v="0"/>
    <n v="0"/>
    <n v="0"/>
    <s v="23mh1a1254@aect.dummy.in"/>
  </r>
  <r>
    <x v="302"/>
    <n v="3"/>
    <n v="0"/>
    <n v="2"/>
    <n v="2"/>
    <n v="4"/>
    <n v="5"/>
    <n v="4"/>
    <x v="37"/>
    <n v="65"/>
    <n v="1660917"/>
    <n v="3"/>
    <n v="6"/>
    <n v="142"/>
    <s v="23mh1a4206@aect.dummy.in"/>
  </r>
  <r>
    <x v="303"/>
    <n v="0"/>
    <n v="0"/>
    <n v="2"/>
    <n v="3"/>
    <n v="4"/>
    <n v="4"/>
    <n v="1"/>
    <x v="4"/>
    <n v="65"/>
    <n v="1661830"/>
    <n v="0"/>
    <n v="0"/>
    <n v="328"/>
    <s v="23mh1a4207@aect.dummy.in"/>
  </r>
  <r>
    <x v="304"/>
    <n v="0"/>
    <n v="0"/>
    <n v="0"/>
    <n v="1"/>
    <n v="5"/>
    <n v="2"/>
    <n v="1"/>
    <x v="4"/>
    <n v="55"/>
    <n v="1857743"/>
    <n v="9"/>
    <n v="16"/>
    <n v="92"/>
    <s v="23mh1a4209@aect.dummy.in"/>
  </r>
  <r>
    <x v="305"/>
    <n v="5"/>
    <n v="0"/>
    <n v="5"/>
    <n v="5"/>
    <n v="0"/>
    <n v="4"/>
    <n v="1"/>
    <x v="4"/>
    <n v="164"/>
    <n v="760157"/>
    <n v="80"/>
    <n v="267"/>
    <n v="22"/>
    <s v="23mh1a4216@aect.dummy.in"/>
  </r>
  <r>
    <x v="306"/>
    <n v="3"/>
    <n v="0"/>
    <n v="0"/>
    <n v="0"/>
    <n v="2"/>
    <n v="2"/>
    <n v="2"/>
    <x v="2"/>
    <n v="52"/>
    <n v="1928477"/>
    <n v="1"/>
    <n v="0"/>
    <n v="120"/>
    <s v="23mh1a4217@aect.dummy.in"/>
  </r>
  <r>
    <x v="307"/>
    <n v="0"/>
    <n v="0"/>
    <n v="0"/>
    <n v="0"/>
    <n v="2"/>
    <n v="1"/>
    <n v="1"/>
    <x v="4"/>
    <n v="23"/>
    <n v="3071864"/>
    <n v="1"/>
    <n v="2"/>
    <n v="0"/>
    <s v="23mh1a4218@aect.dummy.in"/>
  </r>
  <r>
    <x v="308"/>
    <n v="4"/>
    <n v="0"/>
    <n v="3"/>
    <n v="3"/>
    <n v="4"/>
    <n v="5"/>
    <n v="1"/>
    <x v="4"/>
    <n v="96"/>
    <n v="1246779"/>
    <n v="38"/>
    <n v="60"/>
    <n v="510"/>
    <s v="23mh1a4224@aect.dummy.in"/>
  </r>
  <r>
    <x v="309"/>
    <n v="2"/>
    <n v="0"/>
    <n v="0"/>
    <n v="2"/>
    <n v="5"/>
    <n v="4"/>
    <n v="1"/>
    <x v="8"/>
    <n v="131"/>
    <n v="951927"/>
    <n v="8"/>
    <n v="36"/>
    <n v="109"/>
    <s v="23mh1a4225@aect.dummy.in"/>
  </r>
  <r>
    <x v="310"/>
    <n v="0"/>
    <n v="0"/>
    <n v="0"/>
    <n v="0"/>
    <n v="0"/>
    <n v="0"/>
    <n v="0"/>
    <x v="0"/>
    <n v="1"/>
    <n v="5000001"/>
    <n v="0"/>
    <n v="0"/>
    <n v="625"/>
    <s v="23mh1a4226@aect.dummy.in"/>
  </r>
  <r>
    <x v="311"/>
    <n v="4"/>
    <n v="0"/>
    <n v="0"/>
    <n v="0"/>
    <n v="4"/>
    <n v="3"/>
    <n v="2"/>
    <x v="2"/>
    <n v="253"/>
    <n v="454589"/>
    <n v="315"/>
    <n v="949"/>
    <n v="494"/>
    <s v="23mh1a4227@aect.dummy.in"/>
  </r>
  <r>
    <x v="312"/>
    <n v="3"/>
    <n v="3"/>
    <n v="1"/>
    <n v="1"/>
    <n v="5"/>
    <n v="6"/>
    <n v="2"/>
    <x v="2"/>
    <n v="263"/>
    <n v="431448"/>
    <n v="223"/>
    <n v="365"/>
    <n v="464"/>
    <s v="23mh1a4228@aect.dummy.in"/>
  </r>
  <r>
    <x v="313"/>
    <n v="0"/>
    <n v="0"/>
    <n v="0"/>
    <n v="0"/>
    <n v="0"/>
    <n v="0"/>
    <n v="0"/>
    <x v="0"/>
    <n v="56"/>
    <n v="1836617"/>
    <n v="1"/>
    <n v="2"/>
    <n v="222"/>
    <s v="23mh1a4229@aect.dummy.in"/>
  </r>
  <r>
    <x v="314"/>
    <n v="2"/>
    <n v="0"/>
    <n v="4"/>
    <n v="2"/>
    <n v="5"/>
    <n v="5"/>
    <n v="1"/>
    <x v="4"/>
    <n v="53"/>
    <n v="1904265"/>
    <n v="2"/>
    <n v="1"/>
    <n v="286"/>
    <s v="23mh1a4234@aect.dummy.in"/>
  </r>
  <r>
    <x v="315"/>
    <n v="5"/>
    <n v="0"/>
    <n v="4"/>
    <n v="0"/>
    <n v="0"/>
    <n v="3"/>
    <n v="1"/>
    <x v="4"/>
    <n v="122"/>
    <n v="1016019"/>
    <n v="75"/>
    <n v="257"/>
    <n v="0"/>
    <s v="23mh1a4235@aect.dummy.in"/>
  </r>
  <r>
    <x v="316"/>
    <n v="5"/>
    <n v="0"/>
    <n v="5"/>
    <n v="5"/>
    <n v="5"/>
    <n v="5"/>
    <n v="1"/>
    <x v="4"/>
    <n v="302"/>
    <n v="355303"/>
    <n v="0"/>
    <n v="0"/>
    <n v="157"/>
    <s v="23mh1a4236@aect.dummy.in"/>
  </r>
  <r>
    <x v="317"/>
    <n v="0"/>
    <n v="0"/>
    <n v="0"/>
    <n v="0"/>
    <n v="3"/>
    <n v="2"/>
    <n v="2"/>
    <x v="2"/>
    <n v="29"/>
    <n v="2726715"/>
    <n v="0"/>
    <n v="0"/>
    <n v="166"/>
    <s v="23mh1a4238@aect.dummy.in"/>
  </r>
  <r>
    <x v="318"/>
    <n v="4"/>
    <n v="0"/>
    <n v="2"/>
    <n v="1"/>
    <n v="4"/>
    <n v="4"/>
    <n v="0"/>
    <x v="0"/>
    <n v="18"/>
    <n v="3457485"/>
    <n v="1"/>
    <n v="0"/>
    <n v="132"/>
    <s v="23mh1a4243@aect.dummy.in"/>
  </r>
  <r>
    <x v="319"/>
    <n v="0"/>
    <n v="0"/>
    <n v="0"/>
    <n v="0"/>
    <n v="3"/>
    <n v="1"/>
    <n v="2"/>
    <x v="2"/>
    <n v="4"/>
    <n v="5000001"/>
    <n v="0"/>
    <n v="0"/>
    <n v="2"/>
    <s v="23mh1a4244@aect.dummy.in"/>
  </r>
  <r>
    <x v="320"/>
    <n v="3"/>
    <n v="0"/>
    <n v="0"/>
    <n v="2"/>
    <n v="3"/>
    <n v="3"/>
    <n v="2"/>
    <x v="2"/>
    <n v="266"/>
    <n v="424724"/>
    <n v="150"/>
    <n v="418"/>
    <n v="205"/>
    <s v="23mh1a4249@aect.dummy.in"/>
  </r>
  <r>
    <x v="321"/>
    <n v="0"/>
    <n v="0"/>
    <n v="2"/>
    <n v="0"/>
    <n v="0"/>
    <n v="2"/>
    <n v="0"/>
    <x v="0"/>
    <n v="29"/>
    <n v="2727006"/>
    <n v="14"/>
    <n v="20"/>
    <n v="612"/>
    <s v="23mh1a4250@aect.dummy.in"/>
  </r>
  <r>
    <x v="322"/>
    <n v="0"/>
    <n v="0"/>
    <n v="0"/>
    <n v="0"/>
    <n v="0"/>
    <n v="0"/>
    <n v="0"/>
    <x v="0"/>
    <n v="2"/>
    <n v="5000001"/>
    <n v="0"/>
    <n v="0"/>
    <n v="561"/>
    <s v="23mh1a4255@aect.dummy.in"/>
  </r>
  <r>
    <x v="323"/>
    <n v="0"/>
    <n v="0"/>
    <n v="0"/>
    <n v="0"/>
    <n v="4"/>
    <n v="1"/>
    <n v="1"/>
    <x v="4"/>
    <n v="6"/>
    <n v="5000001"/>
    <n v="0"/>
    <n v="0"/>
    <n v="174"/>
    <s v="23mh1a4260@aect.dummy.in"/>
  </r>
  <r>
    <x v="324"/>
    <n v="2"/>
    <n v="0"/>
    <n v="0"/>
    <n v="2"/>
    <n v="5"/>
    <n v="4"/>
    <n v="1"/>
    <x v="4"/>
    <n v="56"/>
    <n v="1836473"/>
    <n v="1"/>
    <n v="2"/>
    <n v="158"/>
    <s v="23mh1a4261@aect.dummy.in"/>
  </r>
  <r>
    <x v="325"/>
    <n v="5"/>
    <n v="0"/>
    <n v="4"/>
    <n v="3"/>
    <n v="1"/>
    <n v="5"/>
    <n v="4"/>
    <x v="36"/>
    <n v="182"/>
    <n v="679757"/>
    <n v="87"/>
    <n v="289"/>
    <n v="671"/>
    <s v="23mh1a4265@aect.dummy.in"/>
  </r>
  <r>
    <x v="326"/>
    <n v="0"/>
    <n v="0"/>
    <n v="0"/>
    <n v="0"/>
    <n v="5"/>
    <n v="1"/>
    <n v="1"/>
    <x v="4"/>
    <n v="14"/>
    <n v="3885735"/>
    <n v="2"/>
    <n v="3"/>
    <n v="66"/>
    <s v="23mh1a4266@aect.dummy.in"/>
  </r>
  <r>
    <x v="327"/>
    <n v="0"/>
    <n v="0"/>
    <n v="0"/>
    <n v="1"/>
    <n v="4"/>
    <n v="2"/>
    <n v="1"/>
    <x v="4"/>
    <n v="31"/>
    <n v="2628668"/>
    <n v="0"/>
    <n v="0"/>
    <n v="206"/>
    <s v="23mh1a4268@aect.dummy.in"/>
  </r>
  <r>
    <x v="328"/>
    <n v="0"/>
    <n v="0"/>
    <n v="0"/>
    <n v="0"/>
    <n v="5"/>
    <n v="2"/>
    <n v="1"/>
    <x v="4"/>
    <n v="5"/>
    <n v="5000001"/>
    <n v="0"/>
    <n v="0"/>
    <n v="10"/>
    <s v="23mh1a4269@aect.dummy.in"/>
  </r>
  <r>
    <x v="329"/>
    <n v="0"/>
    <n v="1"/>
    <n v="0"/>
    <n v="1"/>
    <n v="0"/>
    <n v="3"/>
    <n v="0"/>
    <x v="0"/>
    <n v="0"/>
    <n v="5000001"/>
    <n v="3"/>
    <n v="5"/>
    <n v="35"/>
    <s v="23mh1a4270@aect.dummy.in"/>
  </r>
  <r>
    <x v="330"/>
    <n v="0"/>
    <n v="0"/>
    <n v="0"/>
    <n v="1"/>
    <n v="2"/>
    <n v="3"/>
    <n v="2"/>
    <x v="2"/>
    <n v="19"/>
    <n v="3378024"/>
    <n v="0"/>
    <n v="0"/>
    <n v="43"/>
    <s v="23mh1a4271@aect.dummy.in"/>
  </r>
  <r>
    <x v="331"/>
    <n v="0"/>
    <n v="0"/>
    <n v="0"/>
    <n v="0"/>
    <n v="0"/>
    <n v="0"/>
    <n v="0"/>
    <x v="0"/>
    <n v="0"/>
    <n v="5000001"/>
    <n v="0"/>
    <n v="0"/>
    <n v="0"/>
    <s v="23mh1a4273@aect.dummy.in"/>
  </r>
  <r>
    <x v="332"/>
    <n v="0"/>
    <n v="0"/>
    <n v="0"/>
    <n v="0"/>
    <n v="1"/>
    <n v="1"/>
    <n v="0"/>
    <x v="0"/>
    <n v="0"/>
    <n v="5000001"/>
    <n v="0"/>
    <n v="0"/>
    <n v="0"/>
    <s v="23mh1a4275@aect.dummy.in"/>
  </r>
  <r>
    <x v="333"/>
    <n v="0"/>
    <n v="0"/>
    <n v="0"/>
    <n v="0"/>
    <n v="0"/>
    <n v="0"/>
    <n v="0"/>
    <x v="0"/>
    <n v="171"/>
    <n v="726997"/>
    <n v="5"/>
    <n v="14"/>
    <n v="140"/>
    <s v="23mh1a4291@aect.dummy.in"/>
  </r>
  <r>
    <x v="334"/>
    <n v="0"/>
    <n v="0"/>
    <n v="0"/>
    <n v="0"/>
    <n v="0"/>
    <n v="0"/>
    <n v="0"/>
    <x v="0"/>
    <n v="26"/>
    <n v="2889910"/>
    <n v="0"/>
    <n v="0"/>
    <n v="205"/>
    <s v="23mh1a42a1@aect.dummy.in"/>
  </r>
  <r>
    <x v="335"/>
    <n v="0"/>
    <n v="0"/>
    <n v="0"/>
    <n v="0"/>
    <n v="0"/>
    <n v="0"/>
    <n v="0"/>
    <x v="0"/>
    <n v="0"/>
    <n v="5000001"/>
    <n v="0"/>
    <n v="0"/>
    <n v="12"/>
    <s v="23mh1a42a4@aect.dummy.in"/>
  </r>
  <r>
    <x v="336"/>
    <n v="0"/>
    <n v="1"/>
    <n v="1"/>
    <n v="2"/>
    <n v="0"/>
    <n v="3"/>
    <n v="3"/>
    <x v="38"/>
    <n v="35"/>
    <n v="2457458"/>
    <n v="54"/>
    <n v="81"/>
    <n v="320"/>
    <s v="23mh1a42b1@aect.dummy.in"/>
  </r>
  <r>
    <x v="337"/>
    <n v="0"/>
    <n v="0"/>
    <n v="0"/>
    <n v="0"/>
    <n v="0"/>
    <n v="0"/>
    <n v="2"/>
    <x v="24"/>
    <n v="5"/>
    <n v="5000001"/>
    <n v="25"/>
    <n v="36"/>
    <n v="79"/>
    <s v="23mh1a42b2@aect.dummy.in"/>
  </r>
  <r>
    <x v="338"/>
    <n v="0"/>
    <n v="0"/>
    <n v="0"/>
    <n v="0"/>
    <n v="0"/>
    <n v="0"/>
    <n v="0"/>
    <x v="0"/>
    <n v="0"/>
    <n v="5000001"/>
    <n v="0"/>
    <n v="0"/>
    <n v="0"/>
    <s v="23mh1a42b9@aect.dummy.in"/>
  </r>
  <r>
    <x v="339"/>
    <n v="0"/>
    <n v="0"/>
    <n v="0"/>
    <n v="0"/>
    <n v="0"/>
    <n v="0"/>
    <n v="0"/>
    <x v="0"/>
    <n v="0"/>
    <n v="5000001"/>
    <n v="0"/>
    <n v="0"/>
    <n v="0"/>
    <s v="23mh1a42c9@aect.dummy.in"/>
  </r>
  <r>
    <x v="340"/>
    <n v="0"/>
    <n v="0"/>
    <n v="0"/>
    <n v="0"/>
    <n v="0"/>
    <n v="0"/>
    <n v="0"/>
    <x v="0"/>
    <n v="2"/>
    <n v="5000001"/>
    <n v="0"/>
    <n v="0"/>
    <n v="58"/>
    <s v="23mh1a42d3@aect.dummy.in"/>
  </r>
  <r>
    <x v="341"/>
    <n v="2"/>
    <n v="0"/>
    <n v="0"/>
    <n v="0"/>
    <n v="0"/>
    <n v="1"/>
    <n v="0"/>
    <x v="0"/>
    <n v="0"/>
    <n v="5000001"/>
    <n v="1"/>
    <n v="0"/>
    <n v="0"/>
    <s v="23mh1a42f8@aect.dummy.in"/>
  </r>
  <r>
    <x v="342"/>
    <n v="1"/>
    <n v="0"/>
    <n v="1"/>
    <n v="0"/>
    <n v="0"/>
    <n v="2"/>
    <n v="2"/>
    <x v="39"/>
    <n v="0"/>
    <n v="5000001"/>
    <n v="1"/>
    <n v="0"/>
    <n v="625"/>
    <s v="23mh1a42g7@aect.dummy.in"/>
  </r>
  <r>
    <x v="343"/>
    <n v="1"/>
    <n v="0"/>
    <n v="0"/>
    <n v="0"/>
    <n v="0"/>
    <n v="1"/>
    <n v="1"/>
    <x v="4"/>
    <n v="2"/>
    <n v="5000001"/>
    <n v="0"/>
    <n v="0"/>
    <n v="0"/>
    <s v="23mh1a42i9@aect.dummy.in"/>
  </r>
  <r>
    <x v="344"/>
    <n v="0"/>
    <n v="0"/>
    <n v="0"/>
    <n v="2"/>
    <n v="0"/>
    <n v="1"/>
    <n v="1"/>
    <x v="26"/>
    <n v="0"/>
    <n v="5000001"/>
    <n v="0"/>
    <n v="0"/>
    <n v="0"/>
    <s v="23mh1a42j0@aect.dummy.in"/>
  </r>
  <r>
    <x v="345"/>
    <n v="0"/>
    <n v="0"/>
    <n v="0"/>
    <n v="0"/>
    <n v="0"/>
    <n v="0"/>
    <n v="0"/>
    <x v="0"/>
    <n v="0"/>
    <n v="5000001"/>
    <n v="0"/>
    <n v="0"/>
    <n v="0"/>
    <s v="23mh1a4404@aect.dummy.in"/>
  </r>
  <r>
    <x v="346"/>
    <n v="2"/>
    <n v="0"/>
    <n v="0"/>
    <n v="1"/>
    <n v="0"/>
    <n v="2"/>
    <n v="0"/>
    <x v="0"/>
    <n v="0"/>
    <n v="5000001"/>
    <n v="0"/>
    <n v="0"/>
    <n v="105"/>
    <s v="23mh1a4406@aect.dummy.in"/>
  </r>
  <r>
    <x v="347"/>
    <n v="0"/>
    <n v="0"/>
    <n v="0"/>
    <n v="0"/>
    <n v="1"/>
    <n v="1"/>
    <n v="0"/>
    <x v="0"/>
    <n v="3"/>
    <n v="5000001"/>
    <n v="6"/>
    <n v="13"/>
    <n v="0"/>
    <s v="23mh1a4409@aect.dummy.in"/>
  </r>
  <r>
    <x v="348"/>
    <n v="5"/>
    <n v="2"/>
    <n v="2"/>
    <n v="2"/>
    <n v="0"/>
    <n v="5"/>
    <n v="1"/>
    <x v="4"/>
    <n v="390"/>
    <n v="235667"/>
    <n v="272"/>
    <n v="569"/>
    <n v="483"/>
    <s v="23mh1a4413@aect.dummy.in"/>
  </r>
  <r>
    <x v="349"/>
    <n v="0"/>
    <n v="0"/>
    <n v="0"/>
    <n v="0"/>
    <n v="0"/>
    <n v="0"/>
    <n v="0"/>
    <x v="0"/>
    <n v="119"/>
    <n v="1038393"/>
    <n v="125"/>
    <n v="300"/>
    <n v="208"/>
    <s v="23mh1a4416@aect.dummy.in"/>
  </r>
  <r>
    <x v="350"/>
    <n v="0"/>
    <n v="0"/>
    <n v="0"/>
    <n v="0"/>
    <n v="0"/>
    <n v="0"/>
    <n v="0"/>
    <x v="0"/>
    <n v="0"/>
    <n v="5000001"/>
    <n v="9"/>
    <n v="11"/>
    <n v="0"/>
    <s v="23mh1a4420@aect.dummy.in"/>
  </r>
  <r>
    <x v="351"/>
    <n v="0"/>
    <n v="0"/>
    <n v="0"/>
    <n v="0"/>
    <n v="0"/>
    <n v="0"/>
    <n v="0"/>
    <x v="0"/>
    <n v="0"/>
    <n v="5000001"/>
    <n v="0"/>
    <n v="0"/>
    <n v="0"/>
    <s v="23mh1a4426@aect.dummy.in"/>
  </r>
  <r>
    <x v="352"/>
    <n v="0"/>
    <n v="0"/>
    <n v="0"/>
    <n v="0"/>
    <n v="0"/>
    <n v="0"/>
    <n v="0"/>
    <x v="0"/>
    <n v="0"/>
    <n v="5000001"/>
    <n v="0"/>
    <n v="0"/>
    <n v="0"/>
    <s v="23mh1a4432@aect.dummy.in"/>
  </r>
  <r>
    <x v="353"/>
    <n v="1"/>
    <n v="0"/>
    <n v="0"/>
    <n v="0"/>
    <n v="0"/>
    <n v="1"/>
    <n v="0"/>
    <x v="0"/>
    <n v="29"/>
    <n v="2729538"/>
    <n v="6"/>
    <n v="18"/>
    <n v="69"/>
    <s v="23mh1a4433@aect.dummy.in"/>
  </r>
  <r>
    <x v="354"/>
    <n v="0"/>
    <n v="0"/>
    <n v="0"/>
    <n v="2"/>
    <n v="0"/>
    <n v="1"/>
    <n v="1"/>
    <x v="4"/>
    <n v="0"/>
    <n v="5000001"/>
    <n v="0"/>
    <n v="0"/>
    <n v="0"/>
    <s v="23mh1a4434@aect.dummy.in"/>
  </r>
  <r>
    <x v="355"/>
    <n v="3"/>
    <n v="1"/>
    <n v="4"/>
    <n v="3"/>
    <n v="2"/>
    <n v="6"/>
    <n v="0"/>
    <x v="0"/>
    <n v="251"/>
    <n v="459600"/>
    <n v="210"/>
    <n v="561"/>
    <n v="290"/>
    <s v="23mh1a4435@aect.dummy.in"/>
  </r>
  <r>
    <x v="356"/>
    <n v="0"/>
    <n v="0"/>
    <n v="0"/>
    <n v="0"/>
    <n v="0"/>
    <n v="0"/>
    <n v="0"/>
    <x v="0"/>
    <n v="0"/>
    <n v="5000001"/>
    <n v="0"/>
    <n v="0"/>
    <n v="0"/>
    <s v="23mh1a4453@aect.dummy.in"/>
  </r>
  <r>
    <x v="357"/>
    <n v="0"/>
    <n v="0"/>
    <n v="1"/>
    <n v="0"/>
    <n v="0"/>
    <n v="1"/>
    <n v="0"/>
    <x v="0"/>
    <n v="0"/>
    <n v="5000001"/>
    <n v="0"/>
    <n v="0"/>
    <n v="122"/>
    <s v="23mh1a4461@aect.dummy.in"/>
  </r>
  <r>
    <x v="358"/>
    <n v="0"/>
    <n v="0"/>
    <n v="0"/>
    <n v="3"/>
    <n v="0"/>
    <n v="1"/>
    <n v="0"/>
    <x v="0"/>
    <n v="0"/>
    <n v="5000001"/>
    <n v="2"/>
    <n v="4"/>
    <n v="84"/>
    <s v="23mh1a4462@aect.dummy.in"/>
  </r>
  <r>
    <x v="359"/>
    <n v="0"/>
    <n v="0"/>
    <n v="0"/>
    <n v="0"/>
    <n v="0"/>
    <n v="0"/>
    <n v="0"/>
    <x v="0"/>
    <n v="0"/>
    <n v="5000001"/>
    <n v="0"/>
    <n v="0"/>
    <n v="0"/>
    <s v="23mh1a4463@aect.dummy.in"/>
  </r>
  <r>
    <x v="360"/>
    <n v="0"/>
    <n v="0"/>
    <n v="0"/>
    <n v="2"/>
    <n v="0"/>
    <n v="1"/>
    <n v="0"/>
    <x v="0"/>
    <n v="1"/>
    <n v="5000001"/>
    <n v="67"/>
    <n v="233"/>
    <n v="449"/>
    <s v="23mh1a4464@aect.dummy.in"/>
  </r>
  <r>
    <x v="361"/>
    <n v="1"/>
    <n v="0"/>
    <n v="3"/>
    <n v="4"/>
    <n v="0"/>
    <n v="3"/>
    <n v="0"/>
    <x v="0"/>
    <n v="5"/>
    <n v="5000001"/>
    <n v="13"/>
    <n v="19"/>
    <n v="186"/>
    <s v="23mh1a4465@aect.dummy.in"/>
  </r>
  <r>
    <x v="362"/>
    <n v="5"/>
    <n v="1"/>
    <n v="3"/>
    <n v="3"/>
    <n v="3"/>
    <n v="6"/>
    <n v="0"/>
    <x v="0"/>
    <n v="122"/>
    <n v="1015971"/>
    <n v="107"/>
    <n v="221"/>
    <n v="338"/>
    <s v="23mh1a4901@aect.dummy.in"/>
  </r>
  <r>
    <x v="363"/>
    <n v="0"/>
    <n v="0"/>
    <n v="0"/>
    <n v="0"/>
    <n v="0"/>
    <n v="0"/>
    <n v="0"/>
    <x v="0"/>
    <n v="32"/>
    <n v="2585173"/>
    <n v="10"/>
    <n v="32"/>
    <n v="47"/>
    <s v="23mh1a4905@aect.dummy.in"/>
  </r>
  <r>
    <x v="364"/>
    <n v="5"/>
    <n v="0"/>
    <n v="3"/>
    <n v="2"/>
    <n v="1"/>
    <n v="5"/>
    <n v="1"/>
    <x v="4"/>
    <n v="130"/>
    <n v="958791"/>
    <n v="112"/>
    <n v="228"/>
    <n v="201"/>
    <s v="23mh1a4918@aect.dummy.in"/>
  </r>
  <r>
    <x v="365"/>
    <n v="1"/>
    <n v="0"/>
    <n v="0"/>
    <n v="0"/>
    <n v="0"/>
    <n v="1"/>
    <n v="0"/>
    <x v="0"/>
    <n v="4"/>
    <n v="5000001"/>
    <n v="0"/>
    <n v="0"/>
    <n v="8"/>
    <s v="23mh1a4930@aect.dummy.in"/>
  </r>
  <r>
    <x v="366"/>
    <n v="0"/>
    <n v="0"/>
    <n v="0"/>
    <n v="0"/>
    <n v="0"/>
    <n v="0"/>
    <n v="0"/>
    <x v="0"/>
    <n v="0"/>
    <n v="5000001"/>
    <n v="0"/>
    <n v="0"/>
    <n v="0"/>
    <s v="23mh1a4944@aect.dummy.in"/>
  </r>
  <r>
    <x v="367"/>
    <n v="0"/>
    <n v="0"/>
    <n v="0"/>
    <n v="0"/>
    <n v="4"/>
    <n v="1"/>
    <n v="0"/>
    <x v="0"/>
    <n v="0"/>
    <n v="5000001"/>
    <n v="0"/>
    <n v="0"/>
    <n v="47"/>
    <s v="23mh1a4945@aect.dummy.in"/>
  </r>
  <r>
    <x v="368"/>
    <n v="0"/>
    <n v="0"/>
    <n v="0"/>
    <n v="0"/>
    <n v="0"/>
    <n v="0"/>
    <n v="0"/>
    <x v="0"/>
    <n v="0"/>
    <n v="5000001"/>
    <n v="0"/>
    <n v="0"/>
    <n v="0"/>
    <s v="23mh1a4946@aect.dummy.in"/>
  </r>
  <r>
    <x v="369"/>
    <n v="0"/>
    <n v="0"/>
    <n v="1"/>
    <n v="1"/>
    <n v="2"/>
    <n v="3"/>
    <n v="1"/>
    <x v="4"/>
    <n v="15"/>
    <n v="3764769"/>
    <n v="13"/>
    <n v="18"/>
    <n v="60"/>
    <s v="23mh1a4957@aect.dummy.in"/>
  </r>
  <r>
    <x v="370"/>
    <n v="0"/>
    <n v="0"/>
    <n v="0"/>
    <n v="0"/>
    <n v="0"/>
    <n v="0"/>
    <n v="0"/>
    <x v="0"/>
    <n v="0"/>
    <n v="5000001"/>
    <n v="0"/>
    <n v="0"/>
    <n v="0"/>
    <s v="23mh1a4962@aect.dummy.in"/>
  </r>
  <r>
    <x v="371"/>
    <n v="0"/>
    <n v="0"/>
    <n v="0"/>
    <n v="1"/>
    <n v="0"/>
    <n v="1"/>
    <n v="0"/>
    <x v="0"/>
    <n v="120"/>
    <n v="1031435"/>
    <n v="0"/>
    <n v="0"/>
    <n v="2"/>
    <s v="23mh1a4963@aect.dummy.in"/>
  </r>
  <r>
    <x v="372"/>
    <n v="0"/>
    <n v="0"/>
    <n v="0"/>
    <n v="0"/>
    <n v="0"/>
    <n v="0"/>
    <n v="0"/>
    <x v="0"/>
    <n v="0"/>
    <n v="5000001"/>
    <n v="0"/>
    <n v="0"/>
    <n v="0"/>
    <s v="23p31a0428@aect.dummy.in"/>
  </r>
  <r>
    <x v="373"/>
    <n v="1"/>
    <n v="0"/>
    <n v="0"/>
    <n v="0"/>
    <n v="0"/>
    <n v="1"/>
    <n v="0"/>
    <x v="0"/>
    <n v="0"/>
    <n v="5000001"/>
    <n v="0"/>
    <n v="0"/>
    <n v="73"/>
    <s v="23p31a0435@aect.dummy.in"/>
  </r>
  <r>
    <x v="374"/>
    <n v="0"/>
    <n v="0"/>
    <n v="0"/>
    <n v="0"/>
    <n v="0"/>
    <n v="0"/>
    <n v="0"/>
    <x v="0"/>
    <n v="0"/>
    <n v="5000001"/>
    <n v="0"/>
    <n v="0"/>
    <n v="0"/>
    <s v="23p31a0437@aect.dummy.in"/>
  </r>
  <r>
    <x v="375"/>
    <n v="4"/>
    <n v="0"/>
    <n v="0"/>
    <n v="0"/>
    <n v="0"/>
    <n v="1"/>
    <n v="0"/>
    <x v="0"/>
    <n v="0"/>
    <n v="5000001"/>
    <n v="0"/>
    <n v="0"/>
    <n v="225"/>
    <s v="23p31a0446@aect.dummy.in"/>
  </r>
  <r>
    <x v="376"/>
    <n v="0"/>
    <n v="0"/>
    <n v="0"/>
    <n v="0"/>
    <n v="0"/>
    <n v="0"/>
    <n v="0"/>
    <x v="0"/>
    <n v="0"/>
    <n v="5000001"/>
    <n v="0"/>
    <n v="0"/>
    <n v="0"/>
    <s v="23p31a0449@aect.dummy.in"/>
  </r>
  <r>
    <x v="377"/>
    <n v="0"/>
    <n v="0"/>
    <n v="0"/>
    <n v="0"/>
    <n v="0"/>
    <n v="0"/>
    <n v="0"/>
    <x v="0"/>
    <n v="0"/>
    <n v="5000001"/>
    <n v="0"/>
    <n v="0"/>
    <n v="0"/>
    <s v="23p31a0467@aect.dummy.in"/>
  </r>
  <r>
    <x v="378"/>
    <n v="0"/>
    <n v="0"/>
    <n v="0"/>
    <n v="0"/>
    <n v="0"/>
    <n v="0"/>
    <n v="0"/>
    <x v="0"/>
    <n v="0"/>
    <n v="5000001"/>
    <n v="0"/>
    <n v="0"/>
    <n v="0"/>
    <s v="23p31a0476@aect.dummy.in"/>
  </r>
  <r>
    <x v="379"/>
    <n v="0"/>
    <n v="0"/>
    <n v="0"/>
    <n v="3"/>
    <n v="0"/>
    <n v="1"/>
    <n v="0"/>
    <x v="0"/>
    <n v="6"/>
    <n v="5000001"/>
    <n v="0"/>
    <n v="0"/>
    <n v="461"/>
    <s v="23p31a0486@aect.dummy.in"/>
  </r>
  <r>
    <x v="380"/>
    <n v="1"/>
    <n v="0"/>
    <n v="0"/>
    <n v="1"/>
    <n v="0"/>
    <n v="2"/>
    <n v="0"/>
    <x v="0"/>
    <n v="0"/>
    <n v="5000001"/>
    <n v="0"/>
    <n v="0"/>
    <n v="8"/>
    <s v="23p31a0491@aect.dummy.in"/>
  </r>
  <r>
    <x v="381"/>
    <n v="0"/>
    <n v="0"/>
    <n v="0"/>
    <n v="0"/>
    <n v="0"/>
    <n v="0"/>
    <n v="0"/>
    <x v="0"/>
    <n v="0"/>
    <n v="5000001"/>
    <n v="0"/>
    <n v="0"/>
    <n v="0"/>
    <s v="23p31a0496@aect.dummy.in"/>
  </r>
  <r>
    <x v="382"/>
    <n v="0"/>
    <n v="0"/>
    <n v="0"/>
    <n v="0"/>
    <n v="0"/>
    <n v="0"/>
    <n v="0"/>
    <x v="0"/>
    <n v="2"/>
    <n v="5000001"/>
    <n v="43"/>
    <n v="52"/>
    <n v="107"/>
    <s v="23p31a04b3@aect.dummy.in"/>
  </r>
  <r>
    <x v="383"/>
    <n v="4"/>
    <n v="0"/>
    <n v="0"/>
    <n v="0"/>
    <n v="0"/>
    <n v="1"/>
    <n v="0"/>
    <x v="0"/>
    <n v="0"/>
    <n v="5000001"/>
    <n v="0"/>
    <n v="0"/>
    <n v="23"/>
    <s v="23p31a04b8@aect.dummy.in"/>
  </r>
  <r>
    <x v="384"/>
    <n v="4"/>
    <n v="0"/>
    <n v="0"/>
    <n v="0"/>
    <n v="0"/>
    <n v="1"/>
    <n v="0"/>
    <x v="0"/>
    <n v="0"/>
    <n v="5000001"/>
    <n v="0"/>
    <n v="0"/>
    <n v="3"/>
    <s v="23p31a04c4@aect.dummy.in"/>
  </r>
  <r>
    <x v="385"/>
    <n v="0"/>
    <n v="0"/>
    <n v="0"/>
    <n v="0"/>
    <n v="0"/>
    <n v="0"/>
    <n v="0"/>
    <x v="0"/>
    <n v="0"/>
    <n v="5000001"/>
    <n v="0"/>
    <n v="0"/>
    <n v="2"/>
    <s v="23p31a04c7@aect.dummy.in"/>
  </r>
  <r>
    <x v="386"/>
    <n v="5"/>
    <n v="0"/>
    <n v="0"/>
    <n v="1"/>
    <n v="0"/>
    <n v="2"/>
    <n v="0"/>
    <x v="0"/>
    <n v="0"/>
    <n v="5000001"/>
    <n v="0"/>
    <n v="0"/>
    <n v="42"/>
    <s v="23p31a04e4@aect.dummy.in"/>
  </r>
  <r>
    <x v="387"/>
    <n v="5"/>
    <n v="0"/>
    <n v="0"/>
    <n v="2"/>
    <n v="0"/>
    <n v="2"/>
    <n v="0"/>
    <x v="0"/>
    <n v="0"/>
    <n v="5000001"/>
    <n v="0"/>
    <n v="0"/>
    <n v="308"/>
    <s v="23p31a04f8@aect.dummy.in"/>
  </r>
  <r>
    <x v="388"/>
    <n v="0"/>
    <n v="0"/>
    <n v="0"/>
    <n v="0"/>
    <n v="0"/>
    <n v="0"/>
    <n v="0"/>
    <x v="0"/>
    <n v="3"/>
    <n v="5000001"/>
    <n v="3"/>
    <n v="8"/>
    <n v="11"/>
    <s v="23p31a04i5@aect.dummy.in"/>
  </r>
  <r>
    <x v="389"/>
    <n v="0"/>
    <n v="0"/>
    <n v="0"/>
    <n v="2"/>
    <n v="0"/>
    <n v="1"/>
    <n v="0"/>
    <x v="0"/>
    <n v="3"/>
    <n v="5000001"/>
    <n v="0"/>
    <n v="0"/>
    <n v="534"/>
    <s v="23p31a04i8@aect.dummy.in"/>
  </r>
  <r>
    <x v="390"/>
    <n v="5"/>
    <n v="0"/>
    <n v="0"/>
    <n v="0"/>
    <n v="0"/>
    <n v="1"/>
    <n v="0"/>
    <x v="0"/>
    <n v="0"/>
    <n v="5000001"/>
    <n v="0"/>
    <n v="0"/>
    <n v="13"/>
    <s v="23p31a04j0@aect.dummy.in"/>
  </r>
  <r>
    <x v="391"/>
    <n v="3"/>
    <n v="0"/>
    <n v="3"/>
    <n v="3"/>
    <n v="5"/>
    <n v="5"/>
    <n v="1"/>
    <x v="4"/>
    <n v="148"/>
    <n v="846181"/>
    <n v="42"/>
    <n v="85"/>
    <n v="223"/>
    <s v="23p31a0501@aect.dummy.in"/>
  </r>
  <r>
    <x v="392"/>
    <n v="3"/>
    <n v="2"/>
    <n v="2"/>
    <n v="2"/>
    <n v="4"/>
    <n v="6"/>
    <n v="2"/>
    <x v="2"/>
    <n v="137"/>
    <n v="912265"/>
    <n v="137"/>
    <n v="196"/>
    <n v="289"/>
    <s v="23p31a0502@aect.dummy.in"/>
  </r>
  <r>
    <x v="393"/>
    <n v="3"/>
    <n v="3"/>
    <n v="0"/>
    <n v="3"/>
    <n v="5"/>
    <n v="5"/>
    <n v="2"/>
    <x v="2"/>
    <n v="117"/>
    <n v="1054255"/>
    <n v="34"/>
    <n v="76"/>
    <n v="570"/>
    <s v="23p31a0503@aect.dummy.in"/>
  </r>
  <r>
    <x v="394"/>
    <n v="3"/>
    <n v="0"/>
    <n v="0"/>
    <n v="1"/>
    <n v="5"/>
    <n v="3"/>
    <n v="2"/>
    <x v="2"/>
    <n v="20"/>
    <n v="3292306"/>
    <n v="0"/>
    <n v="0"/>
    <n v="321"/>
    <s v="23p31a0504@aect.dummy.in"/>
  </r>
  <r>
    <x v="395"/>
    <n v="4"/>
    <n v="2"/>
    <n v="2"/>
    <n v="1"/>
    <n v="4"/>
    <n v="6"/>
    <n v="2"/>
    <x v="2"/>
    <n v="31"/>
    <n v="2627286"/>
    <n v="0"/>
    <n v="0"/>
    <n v="87"/>
    <s v="23p31a0505@aect.dummy.in"/>
  </r>
  <r>
    <x v="396"/>
    <n v="0"/>
    <n v="0"/>
    <n v="1"/>
    <n v="2"/>
    <n v="5"/>
    <n v="4"/>
    <n v="2"/>
    <x v="2"/>
    <n v="29"/>
    <n v="2725137"/>
    <n v="0"/>
    <n v="0"/>
    <n v="345"/>
    <s v="23p31a0506@aect.dummy.in"/>
  </r>
  <r>
    <x v="397"/>
    <n v="1"/>
    <n v="0"/>
    <n v="0"/>
    <n v="0"/>
    <n v="3"/>
    <n v="2"/>
    <n v="2"/>
    <x v="2"/>
    <n v="33"/>
    <n v="2540826"/>
    <n v="3"/>
    <n v="8"/>
    <n v="530"/>
    <s v="23p31a0507@aect.dummy.in"/>
  </r>
  <r>
    <x v="398"/>
    <n v="3"/>
    <n v="0"/>
    <n v="1"/>
    <n v="0"/>
    <n v="0"/>
    <n v="3"/>
    <n v="0"/>
    <x v="0"/>
    <n v="58"/>
    <n v="1794104"/>
    <n v="1"/>
    <n v="2"/>
    <n v="1141"/>
    <s v="23p31a0508@aect.dummy.in"/>
  </r>
  <r>
    <x v="399"/>
    <n v="3"/>
    <n v="0"/>
    <n v="0"/>
    <n v="0"/>
    <n v="3"/>
    <n v="2"/>
    <n v="2"/>
    <x v="2"/>
    <n v="120"/>
    <n v="1031296"/>
    <n v="85"/>
    <n v="117"/>
    <n v="468"/>
    <s v="23p31a0509@aect.dummy.in"/>
  </r>
  <r>
    <x v="400"/>
    <n v="3"/>
    <n v="0"/>
    <n v="0"/>
    <n v="1"/>
    <n v="4"/>
    <n v="4"/>
    <n v="2"/>
    <x v="40"/>
    <n v="49"/>
    <n v="2010075"/>
    <n v="0"/>
    <n v="0"/>
    <n v="375"/>
    <s v="23p31a0511@aect.dummy.in"/>
  </r>
  <r>
    <x v="401"/>
    <n v="3"/>
    <n v="1"/>
    <n v="2"/>
    <n v="1"/>
    <n v="5"/>
    <n v="6"/>
    <n v="3"/>
    <x v="34"/>
    <n v="235"/>
    <n v="500841"/>
    <n v="60"/>
    <n v="182"/>
    <n v="403"/>
    <s v="23p31a0513@aect.dummy.in"/>
  </r>
  <r>
    <x v="402"/>
    <n v="3"/>
    <n v="0"/>
    <n v="1"/>
    <n v="0"/>
    <n v="5"/>
    <n v="4"/>
    <n v="3"/>
    <x v="34"/>
    <n v="191"/>
    <n v="644465"/>
    <n v="50"/>
    <n v="167"/>
    <n v="447"/>
    <s v="23p31a0514@aect.dummy.in"/>
  </r>
  <r>
    <x v="403"/>
    <n v="0"/>
    <n v="0"/>
    <n v="0"/>
    <n v="0"/>
    <n v="0"/>
    <n v="0"/>
    <n v="0"/>
    <x v="0"/>
    <n v="3"/>
    <n v="5000001"/>
    <n v="0"/>
    <n v="0"/>
    <n v="0"/>
    <s v="23p31a0516@aect.dummy.in"/>
  </r>
  <r>
    <x v="404"/>
    <n v="3"/>
    <n v="2"/>
    <n v="3"/>
    <n v="3"/>
    <n v="4"/>
    <n v="6"/>
    <n v="2"/>
    <x v="19"/>
    <n v="96"/>
    <n v="1246245"/>
    <n v="80"/>
    <n v="207"/>
    <n v="1195"/>
    <s v="23p31a0517@aect.dummy.in"/>
  </r>
  <r>
    <x v="405"/>
    <n v="4"/>
    <n v="3"/>
    <n v="4"/>
    <n v="4"/>
    <n v="4"/>
    <n v="6"/>
    <n v="2"/>
    <x v="2"/>
    <n v="440"/>
    <n v="189038"/>
    <n v="241"/>
    <n v="573"/>
    <n v="802"/>
    <s v="23p31a0519@aect.dummy.in"/>
  </r>
  <r>
    <x v="406"/>
    <n v="4"/>
    <n v="0"/>
    <n v="0"/>
    <n v="0"/>
    <n v="4"/>
    <n v="2"/>
    <n v="2"/>
    <x v="2"/>
    <n v="52"/>
    <n v="1929671"/>
    <n v="0"/>
    <n v="0"/>
    <n v="116"/>
    <s v="23p31a0520@aect.dummy.in"/>
  </r>
  <r>
    <x v="407"/>
    <n v="3"/>
    <n v="0"/>
    <n v="1"/>
    <n v="0"/>
    <n v="3"/>
    <n v="4"/>
    <n v="2"/>
    <x v="2"/>
    <n v="47"/>
    <n v="2060662"/>
    <n v="5"/>
    <n v="12"/>
    <n v="211"/>
    <s v="23p31a0521@aect.dummy.in"/>
  </r>
  <r>
    <x v="408"/>
    <n v="4"/>
    <n v="3"/>
    <n v="3"/>
    <n v="3"/>
    <n v="4"/>
    <n v="6"/>
    <n v="2"/>
    <x v="2"/>
    <n v="202"/>
    <n v="604261"/>
    <n v="100"/>
    <n v="202"/>
    <n v="437"/>
    <s v="23p31a0524@aect.dummy.in"/>
  </r>
  <r>
    <x v="409"/>
    <n v="3"/>
    <n v="0"/>
    <n v="2"/>
    <n v="2"/>
    <n v="5"/>
    <n v="4"/>
    <n v="2"/>
    <x v="2"/>
    <n v="37"/>
    <n v="2379254"/>
    <n v="2"/>
    <n v="3"/>
    <n v="124"/>
    <s v="23p31a0526@aect.dummy.in"/>
  </r>
  <r>
    <x v="410"/>
    <n v="3"/>
    <n v="2"/>
    <n v="3"/>
    <n v="3"/>
    <n v="5"/>
    <n v="6"/>
    <n v="3"/>
    <x v="34"/>
    <n v="198"/>
    <n v="618867"/>
    <n v="134"/>
    <n v="330"/>
    <n v="332"/>
    <s v="23p31a0527@aect.dummy.in"/>
  </r>
  <r>
    <x v="411"/>
    <n v="3"/>
    <n v="4"/>
    <n v="1"/>
    <n v="3"/>
    <n v="4"/>
    <n v="6"/>
    <n v="2"/>
    <x v="2"/>
    <n v="144"/>
    <n v="869516"/>
    <n v="26"/>
    <n v="69"/>
    <n v="151"/>
    <s v="23p31a0528@aect.dummy.in"/>
  </r>
  <r>
    <x v="412"/>
    <n v="3"/>
    <n v="2"/>
    <n v="2"/>
    <n v="1"/>
    <n v="5"/>
    <n v="6"/>
    <n v="2"/>
    <x v="2"/>
    <n v="107"/>
    <n v="1138933"/>
    <n v="70"/>
    <n v="127"/>
    <n v="265"/>
    <s v="23p31a0529@aect.dummy.in"/>
  </r>
  <r>
    <x v="413"/>
    <n v="3"/>
    <n v="1"/>
    <n v="2"/>
    <n v="3"/>
    <n v="4"/>
    <n v="6"/>
    <n v="2"/>
    <x v="2"/>
    <n v="134"/>
    <n v="931783"/>
    <n v="50"/>
    <n v="114"/>
    <n v="176"/>
    <s v="23p31a0530@aect.dummy.in"/>
  </r>
  <r>
    <x v="414"/>
    <n v="3"/>
    <n v="1"/>
    <n v="3"/>
    <n v="3"/>
    <n v="4"/>
    <n v="6"/>
    <n v="3"/>
    <x v="20"/>
    <n v="141"/>
    <n v="887408"/>
    <n v="35"/>
    <n v="74"/>
    <n v="256"/>
    <s v="23p31a0531@aect.dummy.in"/>
  </r>
  <r>
    <x v="415"/>
    <n v="3"/>
    <n v="0"/>
    <n v="3"/>
    <n v="2"/>
    <n v="4"/>
    <n v="5"/>
    <n v="2"/>
    <x v="2"/>
    <n v="120"/>
    <n v="1031063"/>
    <n v="51"/>
    <n v="52"/>
    <n v="645"/>
    <s v="23p31a0532@aect.dummy.in"/>
  </r>
  <r>
    <x v="416"/>
    <n v="3"/>
    <n v="0"/>
    <n v="0"/>
    <n v="2"/>
    <n v="4"/>
    <n v="4"/>
    <n v="2"/>
    <x v="2"/>
    <n v="6"/>
    <n v="5000001"/>
    <n v="1"/>
    <n v="2"/>
    <n v="500"/>
    <s v="23p31a0534@aect.dummy.in"/>
  </r>
  <r>
    <x v="417"/>
    <n v="3"/>
    <n v="0"/>
    <n v="2"/>
    <n v="0"/>
    <n v="4"/>
    <n v="4"/>
    <n v="2"/>
    <x v="2"/>
    <n v="193"/>
    <n v="636968"/>
    <n v="5"/>
    <n v="4"/>
    <n v="723"/>
    <s v="23p31a0537@aect.dummy.in"/>
  </r>
  <r>
    <x v="418"/>
    <n v="5"/>
    <n v="0"/>
    <n v="2"/>
    <n v="3"/>
    <n v="0"/>
    <n v="4"/>
    <n v="0"/>
    <x v="0"/>
    <n v="9"/>
    <n v="4658475"/>
    <n v="0"/>
    <n v="0"/>
    <n v="220"/>
    <s v="23p31a0538@aect.dummy.in"/>
  </r>
  <r>
    <x v="419"/>
    <n v="3"/>
    <n v="0"/>
    <n v="0"/>
    <n v="0"/>
    <n v="4"/>
    <n v="2"/>
    <n v="2"/>
    <x v="2"/>
    <n v="25"/>
    <n v="2948218"/>
    <n v="2"/>
    <n v="0"/>
    <n v="185"/>
    <s v="23p31a0539@aect.dummy.in"/>
  </r>
  <r>
    <x v="420"/>
    <n v="3"/>
    <n v="0"/>
    <n v="1"/>
    <n v="3"/>
    <n v="3"/>
    <n v="5"/>
    <n v="1"/>
    <x v="4"/>
    <n v="40"/>
    <n v="2271006"/>
    <n v="0"/>
    <n v="0"/>
    <n v="70"/>
    <s v="23p31a0540@aect.dummy.in"/>
  </r>
  <r>
    <x v="421"/>
    <n v="3"/>
    <n v="2"/>
    <n v="2"/>
    <n v="1"/>
    <n v="3"/>
    <n v="6"/>
    <n v="2"/>
    <x v="2"/>
    <n v="70"/>
    <n v="1577272"/>
    <n v="66"/>
    <n v="112"/>
    <n v="339"/>
    <s v="23p31a0543@aect.dummy.in"/>
  </r>
  <r>
    <x v="422"/>
    <n v="3"/>
    <n v="0"/>
    <n v="0"/>
    <n v="2"/>
    <n v="5"/>
    <n v="4"/>
    <n v="3"/>
    <x v="34"/>
    <n v="65"/>
    <n v="1660549"/>
    <n v="0"/>
    <n v="0"/>
    <n v="251"/>
    <s v="23p31a0544@aect.dummy.in"/>
  </r>
  <r>
    <x v="423"/>
    <n v="3"/>
    <n v="0"/>
    <n v="0"/>
    <n v="0"/>
    <n v="0"/>
    <n v="1"/>
    <n v="0"/>
    <x v="0"/>
    <n v="4"/>
    <n v="5000001"/>
    <n v="0"/>
    <n v="0"/>
    <n v="14"/>
    <s v="23p31a0545@aect.dummy.in"/>
  </r>
  <r>
    <x v="424"/>
    <n v="3"/>
    <n v="1"/>
    <n v="2"/>
    <n v="1"/>
    <n v="3"/>
    <n v="6"/>
    <n v="1"/>
    <x v="4"/>
    <n v="79"/>
    <n v="1444517"/>
    <n v="33"/>
    <n v="64"/>
    <n v="133"/>
    <s v="23p31a0547@aect.dummy.in"/>
  </r>
  <r>
    <x v="425"/>
    <n v="3"/>
    <n v="2"/>
    <n v="2"/>
    <n v="0"/>
    <n v="5"/>
    <n v="5"/>
    <n v="1"/>
    <x v="4"/>
    <n v="47"/>
    <n v="2060648"/>
    <n v="21"/>
    <n v="48"/>
    <n v="350"/>
    <s v="23p31a0548@aect.dummy.in"/>
  </r>
  <r>
    <x v="426"/>
    <n v="4"/>
    <n v="0"/>
    <n v="0"/>
    <n v="0"/>
    <n v="5"/>
    <n v="3"/>
    <n v="1"/>
    <x v="4"/>
    <n v="42"/>
    <n v="2207956"/>
    <n v="1"/>
    <n v="1"/>
    <n v="235"/>
    <s v="23p31a0549@aect.dummy.in"/>
  </r>
  <r>
    <x v="427"/>
    <n v="4"/>
    <n v="3"/>
    <n v="3"/>
    <n v="3"/>
    <n v="4"/>
    <n v="6"/>
    <n v="3"/>
    <x v="20"/>
    <n v="199"/>
    <n v="615429"/>
    <n v="108"/>
    <n v="197"/>
    <n v="595"/>
    <s v="23p31a0552@aect.dummy.in"/>
  </r>
  <r>
    <x v="428"/>
    <n v="3"/>
    <n v="0"/>
    <n v="2"/>
    <n v="2"/>
    <n v="5"/>
    <n v="5"/>
    <n v="2"/>
    <x v="2"/>
    <n v="49"/>
    <n v="2010069"/>
    <n v="0"/>
    <n v="0"/>
    <n v="534"/>
    <s v="23p31a0556@aect.dummy.in"/>
  </r>
  <r>
    <x v="429"/>
    <n v="3"/>
    <n v="0"/>
    <n v="0"/>
    <n v="0"/>
    <n v="0"/>
    <n v="1"/>
    <n v="0"/>
    <x v="0"/>
    <n v="7"/>
    <n v="5000001"/>
    <n v="0"/>
    <n v="0"/>
    <n v="3"/>
    <s v="23p31a0557@aect.dummy.in"/>
  </r>
  <r>
    <x v="430"/>
    <n v="3"/>
    <n v="0"/>
    <n v="0"/>
    <n v="1"/>
    <n v="5"/>
    <n v="3"/>
    <n v="2"/>
    <x v="2"/>
    <n v="44"/>
    <n v="2147103"/>
    <n v="2"/>
    <n v="3"/>
    <n v="323"/>
    <s v="23p31a0560@aect.dummy.in"/>
  </r>
  <r>
    <x v="431"/>
    <n v="2"/>
    <n v="0"/>
    <n v="2"/>
    <n v="0"/>
    <n v="0"/>
    <n v="3"/>
    <n v="0"/>
    <x v="0"/>
    <n v="26"/>
    <n v="2884748"/>
    <n v="1"/>
    <n v="2"/>
    <n v="125"/>
    <s v="23p31a0561@aect.dummy.in"/>
  </r>
  <r>
    <x v="432"/>
    <n v="4"/>
    <n v="0"/>
    <n v="0"/>
    <n v="0"/>
    <n v="1"/>
    <n v="2"/>
    <n v="2"/>
    <x v="2"/>
    <n v="26"/>
    <n v="2884093"/>
    <n v="0"/>
    <n v="0"/>
    <n v="86"/>
    <s v="23p31a0562@aect.dummy.in"/>
  </r>
  <r>
    <x v="433"/>
    <n v="3"/>
    <n v="0"/>
    <n v="0"/>
    <n v="0"/>
    <n v="5"/>
    <n v="3"/>
    <n v="2"/>
    <x v="2"/>
    <n v="34"/>
    <n v="2496163"/>
    <n v="1"/>
    <n v="4"/>
    <n v="377"/>
    <s v="23p31a0563@aect.dummy.in"/>
  </r>
  <r>
    <x v="434"/>
    <n v="4"/>
    <n v="0"/>
    <n v="3"/>
    <n v="3"/>
    <n v="4"/>
    <n v="4"/>
    <n v="1"/>
    <x v="4"/>
    <n v="40"/>
    <n v="2274419"/>
    <n v="3"/>
    <n v="5"/>
    <n v="610"/>
    <s v="23p31a0564@aect.dummy.in"/>
  </r>
  <r>
    <x v="435"/>
    <n v="4"/>
    <n v="1"/>
    <n v="3"/>
    <n v="1"/>
    <n v="4"/>
    <n v="6"/>
    <n v="2"/>
    <x v="41"/>
    <n v="129"/>
    <n v="965943"/>
    <n v="161"/>
    <n v="249"/>
    <n v="748"/>
    <s v="23p31a0565@aect.dummy.in"/>
  </r>
  <r>
    <x v="436"/>
    <n v="0"/>
    <n v="0"/>
    <n v="0"/>
    <n v="0"/>
    <n v="0"/>
    <n v="0"/>
    <n v="0"/>
    <x v="0"/>
    <n v="0"/>
    <n v="5000001"/>
    <n v="0"/>
    <n v="0"/>
    <n v="0"/>
    <s v="23p31a0567@aect.dummy.in"/>
  </r>
  <r>
    <x v="437"/>
    <n v="3"/>
    <n v="0"/>
    <n v="3"/>
    <n v="3"/>
    <n v="0"/>
    <n v="3"/>
    <n v="2"/>
    <x v="12"/>
    <n v="1"/>
    <n v="5000001"/>
    <n v="0"/>
    <n v="0"/>
    <n v="10"/>
    <s v="23p31a0568@aect.dummy.in"/>
  </r>
  <r>
    <x v="438"/>
    <n v="3"/>
    <n v="0"/>
    <n v="0"/>
    <n v="0"/>
    <n v="2"/>
    <n v="2"/>
    <n v="1"/>
    <x v="4"/>
    <n v="5"/>
    <n v="5000001"/>
    <n v="0"/>
    <n v="0"/>
    <n v="100"/>
    <s v="23p31a0569@aect.dummy.in"/>
  </r>
  <r>
    <x v="439"/>
    <n v="4"/>
    <n v="0"/>
    <n v="0"/>
    <n v="0"/>
    <n v="4"/>
    <n v="2"/>
    <n v="1"/>
    <x v="4"/>
    <n v="6"/>
    <n v="5000001"/>
    <n v="0"/>
    <n v="0"/>
    <n v="408"/>
    <s v="23p31a0575@aect.dummy.in"/>
  </r>
  <r>
    <x v="440"/>
    <n v="3"/>
    <n v="1"/>
    <n v="1"/>
    <n v="0"/>
    <n v="0"/>
    <n v="3"/>
    <n v="1"/>
    <x v="30"/>
    <n v="83"/>
    <n v="1392494"/>
    <n v="4"/>
    <n v="8"/>
    <n v="48"/>
    <s v="23p31a0577@aect.dummy.in"/>
  </r>
  <r>
    <x v="441"/>
    <n v="1"/>
    <n v="0"/>
    <n v="0"/>
    <n v="0"/>
    <n v="0"/>
    <n v="1"/>
    <n v="0"/>
    <x v="0"/>
    <n v="23"/>
    <n v="3076439"/>
    <n v="0"/>
    <n v="0"/>
    <n v="2"/>
    <s v="23p31a0578@aect.dummy.in"/>
  </r>
  <r>
    <x v="442"/>
    <n v="3"/>
    <n v="1"/>
    <n v="0"/>
    <n v="2"/>
    <n v="4"/>
    <n v="5"/>
    <n v="3"/>
    <x v="17"/>
    <n v="40"/>
    <n v="2273364"/>
    <n v="6"/>
    <n v="12"/>
    <n v="116"/>
    <s v="23p31a0581@aect.dummy.in"/>
  </r>
  <r>
    <x v="443"/>
    <n v="5"/>
    <n v="5"/>
    <n v="5"/>
    <n v="5"/>
    <n v="0"/>
    <n v="5"/>
    <n v="0"/>
    <x v="0"/>
    <n v="1"/>
    <n v="5000001"/>
    <n v="2"/>
    <n v="10"/>
    <n v="26"/>
    <s v="23p31a0582@aect.dummy.in"/>
  </r>
  <r>
    <x v="444"/>
    <n v="3"/>
    <n v="0"/>
    <n v="0"/>
    <n v="0"/>
    <n v="1"/>
    <n v="3"/>
    <n v="1"/>
    <x v="4"/>
    <n v="24"/>
    <n v="3005665"/>
    <n v="2"/>
    <n v="4"/>
    <n v="3"/>
    <s v="23p31a0583@aect.dummy.in"/>
  </r>
  <r>
    <x v="445"/>
    <n v="3"/>
    <n v="0"/>
    <n v="2"/>
    <n v="2"/>
    <n v="4"/>
    <n v="5"/>
    <n v="1"/>
    <x v="4"/>
    <n v="29"/>
    <n v="2725132"/>
    <n v="0"/>
    <n v="0"/>
    <n v="488"/>
    <s v="23p31a0584@aect.dummy.in"/>
  </r>
  <r>
    <x v="446"/>
    <n v="4"/>
    <n v="0"/>
    <n v="1"/>
    <n v="2"/>
    <n v="2"/>
    <n v="5"/>
    <n v="4"/>
    <x v="42"/>
    <n v="126"/>
    <n v="986949"/>
    <n v="5"/>
    <n v="14"/>
    <n v="137"/>
    <s v="23p31a0586@aect.dummy.in"/>
  </r>
  <r>
    <x v="447"/>
    <n v="0"/>
    <n v="0"/>
    <n v="0"/>
    <n v="1"/>
    <n v="1"/>
    <n v="2"/>
    <n v="1"/>
    <x v="4"/>
    <n v="4"/>
    <n v="5000001"/>
    <n v="0"/>
    <n v="0"/>
    <n v="0"/>
    <s v="23p31a0587@aect.dummy.in"/>
  </r>
  <r>
    <x v="448"/>
    <n v="3"/>
    <n v="0"/>
    <n v="0"/>
    <n v="0"/>
    <n v="1"/>
    <n v="3"/>
    <n v="0"/>
    <x v="0"/>
    <n v="37"/>
    <n v="2378302"/>
    <n v="77"/>
    <n v="160"/>
    <n v="92"/>
    <s v="23p31a0588@aect.dummy.in"/>
  </r>
  <r>
    <x v="449"/>
    <n v="3"/>
    <n v="0"/>
    <n v="0"/>
    <n v="0"/>
    <n v="0"/>
    <n v="1"/>
    <n v="0"/>
    <x v="0"/>
    <n v="207"/>
    <n v="590058"/>
    <n v="79"/>
    <n v="235"/>
    <n v="3"/>
    <s v="23p31a0597@aect.dummy.in"/>
  </r>
  <r>
    <x v="450"/>
    <n v="4"/>
    <n v="0"/>
    <n v="0"/>
    <n v="0"/>
    <n v="3"/>
    <n v="3"/>
    <n v="0"/>
    <x v="0"/>
    <n v="1"/>
    <n v="5000001"/>
    <n v="0"/>
    <n v="0"/>
    <n v="3"/>
    <s v="23p31a0599@aect.dummy.in"/>
  </r>
  <r>
    <x v="451"/>
    <n v="0"/>
    <n v="0"/>
    <n v="1"/>
    <n v="1"/>
    <n v="0"/>
    <n v="2"/>
    <n v="0"/>
    <x v="0"/>
    <n v="0"/>
    <n v="5000001"/>
    <n v="1"/>
    <n v="1"/>
    <n v="43"/>
    <s v="23p31a05a9@aect.dummy.in"/>
  </r>
  <r>
    <x v="452"/>
    <n v="1"/>
    <n v="0"/>
    <n v="3"/>
    <n v="3"/>
    <n v="3"/>
    <n v="4"/>
    <n v="0"/>
    <x v="0"/>
    <n v="81"/>
    <n v="1417980"/>
    <n v="27"/>
    <n v="32"/>
    <n v="114"/>
    <s v="23p31a05c0@aect.dummy.in"/>
  </r>
  <r>
    <x v="453"/>
    <n v="3"/>
    <n v="0"/>
    <n v="0"/>
    <n v="0"/>
    <n v="0"/>
    <n v="1"/>
    <n v="0"/>
    <x v="0"/>
    <n v="0"/>
    <n v="5000001"/>
    <n v="0"/>
    <n v="0"/>
    <n v="0"/>
    <s v="23p31a05d3@aect.dummy.in"/>
  </r>
  <r>
    <x v="454"/>
    <n v="1"/>
    <n v="0"/>
    <n v="0"/>
    <n v="1"/>
    <n v="0"/>
    <n v="2"/>
    <n v="0"/>
    <x v="0"/>
    <n v="20"/>
    <n v="3303932"/>
    <n v="4"/>
    <n v="8"/>
    <n v="2"/>
    <s v="23p31a05d6@aect.dummy.in"/>
  </r>
  <r>
    <x v="455"/>
    <n v="2"/>
    <n v="0"/>
    <n v="0"/>
    <n v="0"/>
    <n v="5"/>
    <n v="2"/>
    <n v="2"/>
    <x v="2"/>
    <n v="14"/>
    <n v="3903102"/>
    <n v="4"/>
    <n v="16"/>
    <n v="5"/>
    <s v="23p31a05d7@aect.dummy.in"/>
  </r>
  <r>
    <x v="456"/>
    <n v="0"/>
    <n v="0"/>
    <n v="3"/>
    <n v="0"/>
    <n v="0"/>
    <n v="1"/>
    <n v="0"/>
    <x v="0"/>
    <n v="0"/>
    <n v="5000001"/>
    <n v="0"/>
    <n v="0"/>
    <n v="0"/>
    <s v="23p31a05e4@aect.dummy.in"/>
  </r>
  <r>
    <x v="457"/>
    <n v="0"/>
    <n v="0"/>
    <n v="0"/>
    <n v="0"/>
    <n v="0"/>
    <n v="0"/>
    <n v="0"/>
    <x v="0"/>
    <n v="16"/>
    <n v="3673514"/>
    <n v="0"/>
    <n v="0"/>
    <n v="66"/>
    <s v="23p31a05e5@aect.dummy.in"/>
  </r>
  <r>
    <x v="458"/>
    <n v="0"/>
    <n v="0"/>
    <n v="1"/>
    <n v="1"/>
    <n v="0"/>
    <n v="2"/>
    <n v="0"/>
    <x v="0"/>
    <n v="32"/>
    <n v="2585186"/>
    <n v="0"/>
    <n v="0"/>
    <n v="56"/>
    <s v="23p31a05f2@aect.dummy.in"/>
  </r>
  <r>
    <x v="459"/>
    <n v="2"/>
    <n v="0"/>
    <n v="3"/>
    <n v="0"/>
    <n v="5"/>
    <n v="3"/>
    <n v="3"/>
    <x v="34"/>
    <n v="82"/>
    <n v="1406321"/>
    <n v="0"/>
    <n v="0"/>
    <n v="238"/>
    <s v="23p31a05g5@aect.dummy.in"/>
  </r>
  <r>
    <x v="460"/>
    <n v="1"/>
    <n v="0"/>
    <n v="0"/>
    <n v="0"/>
    <n v="0"/>
    <n v="1"/>
    <n v="0"/>
    <x v="0"/>
    <n v="0"/>
    <n v="5000001"/>
    <n v="0"/>
    <n v="0"/>
    <n v="122"/>
    <s v="23p31a05h3@aect.dummy.in"/>
  </r>
  <r>
    <x v="461"/>
    <n v="3"/>
    <n v="0"/>
    <n v="0"/>
    <n v="0"/>
    <n v="0"/>
    <n v="1"/>
    <n v="0"/>
    <x v="0"/>
    <n v="0"/>
    <n v="5000001"/>
    <n v="0"/>
    <n v="0"/>
    <n v="115"/>
    <s v="23p31a05h4@aect.dummy.in"/>
  </r>
  <r>
    <x v="462"/>
    <n v="3"/>
    <n v="0"/>
    <n v="0"/>
    <n v="0"/>
    <n v="0"/>
    <n v="1"/>
    <n v="0"/>
    <x v="0"/>
    <n v="0"/>
    <n v="5000001"/>
    <n v="0"/>
    <n v="0"/>
    <n v="122"/>
    <s v="23p31a05h6@aect.dummy.in"/>
  </r>
  <r>
    <x v="463"/>
    <n v="2"/>
    <n v="0"/>
    <n v="0"/>
    <n v="0"/>
    <n v="0"/>
    <n v="1"/>
    <n v="1"/>
    <x v="43"/>
    <n v="1"/>
    <n v="5000001"/>
    <n v="3"/>
    <n v="4"/>
    <n v="1060"/>
    <s v="23p31a05h8@aect.dummy.in"/>
  </r>
  <r>
    <x v="464"/>
    <n v="3"/>
    <n v="0"/>
    <n v="0"/>
    <n v="0"/>
    <n v="0"/>
    <n v="1"/>
    <n v="0"/>
    <x v="0"/>
    <n v="0"/>
    <n v="5000001"/>
    <n v="0"/>
    <n v="0"/>
    <n v="0"/>
    <s v="23p31a05i7@aect.dummy.in"/>
  </r>
  <r>
    <x v="465"/>
    <n v="1"/>
    <n v="0"/>
    <n v="3"/>
    <n v="0"/>
    <n v="4"/>
    <n v="3"/>
    <n v="2"/>
    <x v="2"/>
    <n v="24"/>
    <n v="3015789"/>
    <n v="0"/>
    <n v="0"/>
    <n v="25"/>
    <s v="23p31a05i9@aect.dummy.in"/>
  </r>
  <r>
    <x v="466"/>
    <n v="2"/>
    <n v="0"/>
    <n v="1"/>
    <n v="1"/>
    <n v="0"/>
    <n v="3"/>
    <n v="0"/>
    <x v="0"/>
    <n v="0"/>
    <n v="5000001"/>
    <n v="13"/>
    <n v="20"/>
    <n v="345"/>
    <s v="23p31a05k0@aect.dummy.in"/>
  </r>
  <r>
    <x v="467"/>
    <n v="1"/>
    <n v="0"/>
    <n v="0"/>
    <n v="0"/>
    <n v="5"/>
    <n v="2"/>
    <n v="2"/>
    <x v="2"/>
    <n v="125"/>
    <n v="993590"/>
    <n v="19"/>
    <n v="41"/>
    <n v="166"/>
    <s v="23p31a05k5@aect.dummy.in"/>
  </r>
  <r>
    <x v="468"/>
    <n v="4"/>
    <n v="0"/>
    <n v="2"/>
    <n v="0"/>
    <n v="5"/>
    <n v="3"/>
    <n v="2"/>
    <x v="2"/>
    <n v="89"/>
    <n v="1321726"/>
    <n v="91"/>
    <n v="149"/>
    <n v="370"/>
    <s v="23p31a05l9@aect.dummy.in"/>
  </r>
  <r>
    <x v="469"/>
    <n v="3"/>
    <n v="0"/>
    <n v="0"/>
    <n v="0"/>
    <n v="0"/>
    <n v="1"/>
    <n v="0"/>
    <x v="0"/>
    <n v="20"/>
    <n v="3310660"/>
    <n v="0"/>
    <n v="0"/>
    <n v="28"/>
    <s v="23p31a05m4@aect.dummy.in"/>
  </r>
  <r>
    <x v="470"/>
    <n v="1"/>
    <n v="0"/>
    <n v="0"/>
    <n v="0"/>
    <n v="0"/>
    <n v="1"/>
    <n v="1"/>
    <x v="30"/>
    <n v="0"/>
    <n v="5000001"/>
    <n v="0"/>
    <n v="0"/>
    <n v="60"/>
    <s v="23p31a05m5@aect.dummy.in"/>
  </r>
  <r>
    <x v="471"/>
    <n v="3"/>
    <n v="0"/>
    <n v="0"/>
    <n v="0"/>
    <n v="5"/>
    <n v="2"/>
    <n v="2"/>
    <x v="2"/>
    <n v="23"/>
    <n v="3076398"/>
    <n v="0"/>
    <n v="0"/>
    <n v="56"/>
    <s v="23p31a05o1@aect.dummy.in"/>
  </r>
  <r>
    <x v="472"/>
    <n v="2"/>
    <n v="0"/>
    <n v="0"/>
    <n v="0"/>
    <n v="0"/>
    <n v="1"/>
    <n v="1"/>
    <x v="43"/>
    <n v="0"/>
    <n v="5000001"/>
    <n v="0"/>
    <n v="0"/>
    <n v="266"/>
    <s v="23p31a05o2@aect.dummy.in"/>
  </r>
  <r>
    <x v="473"/>
    <n v="1"/>
    <n v="0"/>
    <n v="0"/>
    <n v="0"/>
    <n v="4"/>
    <n v="2"/>
    <n v="1"/>
    <x v="4"/>
    <n v="24"/>
    <n v="3015764"/>
    <n v="2"/>
    <n v="2"/>
    <n v="266"/>
    <s v="23p31a05p3@aect.dummy.in"/>
  </r>
  <r>
    <x v="474"/>
    <n v="2"/>
    <n v="0"/>
    <n v="0"/>
    <n v="4"/>
    <n v="0"/>
    <n v="2"/>
    <n v="1"/>
    <x v="4"/>
    <n v="0"/>
    <n v="5000001"/>
    <n v="0"/>
    <n v="0"/>
    <n v="276"/>
    <s v="23p31a05p4@aect.dummy.in"/>
  </r>
  <r>
    <x v="475"/>
    <n v="0"/>
    <n v="0"/>
    <n v="2"/>
    <n v="1"/>
    <n v="5"/>
    <n v="3"/>
    <n v="2"/>
    <x v="44"/>
    <n v="36"/>
    <n v="2421904"/>
    <n v="0"/>
    <n v="0"/>
    <n v="142"/>
    <s v="23p31a05r2@aect.dummy.in"/>
  </r>
  <r>
    <x v="476"/>
    <n v="4"/>
    <n v="0"/>
    <n v="0"/>
    <n v="3"/>
    <n v="3"/>
    <n v="4"/>
    <n v="0"/>
    <x v="0"/>
    <n v="145"/>
    <n v="864023"/>
    <n v="33"/>
    <n v="61"/>
    <n v="603"/>
    <s v="23p31a1201@aect.dummy.in"/>
  </r>
  <r>
    <x v="477"/>
    <n v="3"/>
    <n v="0"/>
    <n v="0"/>
    <n v="0"/>
    <n v="2"/>
    <n v="2"/>
    <n v="2"/>
    <x v="2"/>
    <n v="29"/>
    <n v="2723516"/>
    <n v="9"/>
    <n v="21"/>
    <n v="105"/>
    <s v="23p31a1202@aect.dummy.in"/>
  </r>
  <r>
    <x v="478"/>
    <n v="2"/>
    <n v="0"/>
    <n v="1"/>
    <n v="0"/>
    <n v="4"/>
    <n v="3"/>
    <n v="1"/>
    <x v="4"/>
    <n v="23"/>
    <n v="3075465"/>
    <n v="3"/>
    <n v="4"/>
    <n v="382"/>
    <s v="23p31a1203@aect.dummy.in"/>
  </r>
  <r>
    <x v="479"/>
    <n v="4"/>
    <n v="0"/>
    <n v="0"/>
    <n v="4"/>
    <n v="1"/>
    <n v="4"/>
    <n v="1"/>
    <x v="35"/>
    <n v="318"/>
    <n v="328420"/>
    <n v="18"/>
    <n v="42"/>
    <n v="19"/>
    <s v="23p31a1205@aect.dummy.in"/>
  </r>
  <r>
    <x v="480"/>
    <n v="3"/>
    <n v="0"/>
    <n v="0"/>
    <n v="0"/>
    <n v="3"/>
    <n v="3"/>
    <n v="1"/>
    <x v="4"/>
    <n v="20"/>
    <n v="3294200"/>
    <n v="0"/>
    <n v="0"/>
    <n v="4"/>
    <s v="23p31a1206@aect.dummy.in"/>
  </r>
  <r>
    <x v="481"/>
    <n v="5"/>
    <n v="0"/>
    <n v="0"/>
    <n v="0"/>
    <n v="5"/>
    <n v="2"/>
    <n v="2"/>
    <x v="19"/>
    <n v="76"/>
    <n v="1488171"/>
    <n v="8"/>
    <n v="13"/>
    <n v="8"/>
    <s v="23p31a1208@aect.dummy.in"/>
  </r>
  <r>
    <x v="482"/>
    <n v="4"/>
    <n v="0"/>
    <n v="1"/>
    <n v="2"/>
    <n v="4"/>
    <n v="4"/>
    <n v="2"/>
    <x v="2"/>
    <n v="46"/>
    <n v="2090096"/>
    <n v="38"/>
    <n v="50"/>
    <n v="1198"/>
    <s v="23p31a1209@aect.dummy.in"/>
  </r>
  <r>
    <x v="483"/>
    <n v="2"/>
    <n v="0"/>
    <n v="1"/>
    <n v="1"/>
    <n v="0"/>
    <n v="4"/>
    <n v="0"/>
    <x v="0"/>
    <n v="25"/>
    <n v="2942970"/>
    <n v="13"/>
    <n v="19"/>
    <n v="601"/>
    <s v="23p31a1210@aect.dummy.in"/>
  </r>
  <r>
    <x v="484"/>
    <n v="4"/>
    <n v="0"/>
    <n v="0"/>
    <n v="0"/>
    <n v="3"/>
    <n v="2"/>
    <n v="5"/>
    <x v="45"/>
    <n v="14"/>
    <n v="3892724"/>
    <n v="0"/>
    <n v="0"/>
    <n v="0"/>
    <s v="23p31a1211@aect.dummy.in"/>
  </r>
  <r>
    <x v="485"/>
    <n v="4"/>
    <n v="0"/>
    <n v="2"/>
    <n v="2"/>
    <n v="3"/>
    <n v="5"/>
    <n v="2"/>
    <x v="2"/>
    <n v="58"/>
    <n v="1793952"/>
    <n v="35"/>
    <n v="46"/>
    <n v="500"/>
    <s v="23p31a1212@aect.dummy.in"/>
  </r>
  <r>
    <x v="486"/>
    <n v="5"/>
    <n v="5"/>
    <n v="5"/>
    <n v="5"/>
    <n v="5"/>
    <n v="6"/>
    <n v="16"/>
    <x v="46"/>
    <n v="677"/>
    <n v="71047"/>
    <n v="243"/>
    <n v="353"/>
    <n v="68"/>
    <s v="23p31a1216@aect.dummy.in"/>
  </r>
  <r>
    <x v="487"/>
    <n v="5"/>
    <n v="0"/>
    <n v="0"/>
    <n v="2"/>
    <n v="3"/>
    <n v="3"/>
    <n v="2"/>
    <x v="2"/>
    <n v="134"/>
    <n v="932098"/>
    <n v="23"/>
    <n v="34"/>
    <n v="841"/>
    <s v="23p31a1218@aect.dummy.in"/>
  </r>
  <r>
    <x v="488"/>
    <n v="4"/>
    <n v="2"/>
    <n v="1"/>
    <n v="3"/>
    <n v="4"/>
    <n v="6"/>
    <n v="2"/>
    <x v="2"/>
    <n v="105"/>
    <n v="1157383"/>
    <n v="82"/>
    <n v="243"/>
    <n v="566"/>
    <s v="23p31a1221@aect.dummy.in"/>
  </r>
  <r>
    <x v="489"/>
    <n v="4"/>
    <n v="1"/>
    <n v="2"/>
    <n v="3"/>
    <n v="3"/>
    <n v="6"/>
    <n v="2"/>
    <x v="2"/>
    <n v="110"/>
    <n v="1112499"/>
    <n v="45"/>
    <n v="75"/>
    <n v="378"/>
    <s v="23p31a1222@aect.dummy.in"/>
  </r>
  <r>
    <x v="490"/>
    <n v="3"/>
    <n v="0"/>
    <n v="0"/>
    <n v="0"/>
    <n v="4"/>
    <n v="3"/>
    <n v="2"/>
    <x v="2"/>
    <n v="38"/>
    <n v="2342014"/>
    <n v="2"/>
    <n v="2"/>
    <n v="240"/>
    <s v="23p31a1223@aect.dummy.in"/>
  </r>
  <r>
    <x v="491"/>
    <n v="3"/>
    <n v="0"/>
    <n v="0"/>
    <n v="0"/>
    <n v="4"/>
    <n v="3"/>
    <n v="1"/>
    <x v="4"/>
    <n v="66"/>
    <n v="1642927"/>
    <n v="0"/>
    <n v="0"/>
    <n v="157"/>
    <s v="23p31a1225@aect.dummy.in"/>
  </r>
  <r>
    <x v="492"/>
    <n v="3"/>
    <n v="0"/>
    <n v="0"/>
    <n v="0"/>
    <n v="2"/>
    <n v="2"/>
    <n v="1"/>
    <x v="4"/>
    <n v="7"/>
    <n v="5000001"/>
    <n v="0"/>
    <n v="0"/>
    <n v="331"/>
    <s v="23p31a1226@aect.dummy.in"/>
  </r>
  <r>
    <x v="493"/>
    <n v="3"/>
    <n v="0"/>
    <n v="2"/>
    <n v="2"/>
    <n v="4"/>
    <n v="4"/>
    <n v="1"/>
    <x v="4"/>
    <n v="74"/>
    <n v="1516981"/>
    <n v="23"/>
    <n v="45"/>
    <n v="1240"/>
    <s v="23p31a1227@aect.dummy.in"/>
  </r>
  <r>
    <x v="494"/>
    <n v="3"/>
    <n v="0"/>
    <n v="0"/>
    <n v="3"/>
    <n v="4"/>
    <n v="4"/>
    <n v="2"/>
    <x v="2"/>
    <n v="91"/>
    <n v="1299229"/>
    <n v="59"/>
    <n v="198"/>
    <n v="146"/>
    <s v="23p31a1228@aect.dummy.in"/>
  </r>
  <r>
    <x v="495"/>
    <n v="3"/>
    <n v="0"/>
    <n v="1"/>
    <n v="0"/>
    <n v="4"/>
    <n v="3"/>
    <n v="1"/>
    <x v="4"/>
    <n v="33"/>
    <n v="2540970"/>
    <n v="1"/>
    <n v="1"/>
    <n v="540"/>
    <s v="23p31a1230@aect.dummy.in"/>
  </r>
  <r>
    <x v="496"/>
    <n v="0"/>
    <n v="0"/>
    <n v="0"/>
    <n v="0"/>
    <n v="0"/>
    <n v="0"/>
    <n v="0"/>
    <x v="0"/>
    <n v="0"/>
    <n v="5000001"/>
    <n v="0"/>
    <n v="0"/>
    <n v="11"/>
    <s v="23p31a1231@aect.dummy.in"/>
  </r>
  <r>
    <x v="497"/>
    <n v="3"/>
    <n v="1"/>
    <n v="2"/>
    <n v="2"/>
    <n v="1"/>
    <n v="6"/>
    <n v="4"/>
    <x v="47"/>
    <n v="24"/>
    <n v="3004913"/>
    <n v="15"/>
    <n v="23"/>
    <n v="585"/>
    <s v="23p31a1232@aect.dummy.in"/>
  </r>
  <r>
    <x v="498"/>
    <n v="0"/>
    <n v="0"/>
    <n v="0"/>
    <n v="0"/>
    <n v="0"/>
    <n v="0"/>
    <n v="0"/>
    <x v="0"/>
    <n v="1"/>
    <n v="5000001"/>
    <n v="0"/>
    <n v="0"/>
    <n v="2"/>
    <s v="23p31a1235@aect.dummy.in"/>
  </r>
  <r>
    <x v="499"/>
    <n v="1"/>
    <n v="0"/>
    <n v="0"/>
    <n v="0"/>
    <n v="2"/>
    <n v="2"/>
    <n v="1"/>
    <x v="4"/>
    <n v="10"/>
    <n v="4512615"/>
    <n v="0"/>
    <n v="0"/>
    <n v="324"/>
    <s v="23p31a1249@aect.dummy.in"/>
  </r>
  <r>
    <x v="500"/>
    <n v="1"/>
    <n v="0"/>
    <n v="2"/>
    <n v="0"/>
    <n v="5"/>
    <n v="3"/>
    <n v="4"/>
    <x v="48"/>
    <n v="165"/>
    <n v="755250"/>
    <n v="62"/>
    <n v="179"/>
    <n v="501"/>
    <s v="23p31a1250@aect.dummy.in"/>
  </r>
  <r>
    <x v="501"/>
    <n v="0"/>
    <n v="0"/>
    <n v="0"/>
    <n v="0"/>
    <n v="0"/>
    <n v="0"/>
    <n v="0"/>
    <x v="0"/>
    <n v="0"/>
    <n v="5000001"/>
    <n v="0"/>
    <n v="0"/>
    <n v="12"/>
    <s v="23p31a1253@aect.dummy.in"/>
  </r>
  <r>
    <x v="502"/>
    <n v="0"/>
    <n v="0"/>
    <n v="0"/>
    <n v="0"/>
    <n v="1"/>
    <n v="1"/>
    <n v="0"/>
    <x v="0"/>
    <n v="0"/>
    <n v="5000001"/>
    <n v="0"/>
    <n v="0"/>
    <n v="44"/>
    <s v="23p31a1264@aect.dummy.in"/>
  </r>
  <r>
    <x v="503"/>
    <n v="0"/>
    <n v="0"/>
    <n v="0"/>
    <n v="0"/>
    <n v="1"/>
    <n v="1"/>
    <n v="1"/>
    <x v="4"/>
    <n v="10"/>
    <n v="4503233"/>
    <n v="0"/>
    <n v="0"/>
    <n v="22"/>
    <s v="23p31a1266@aect.dummy.in"/>
  </r>
  <r>
    <x v="504"/>
    <n v="1"/>
    <n v="0"/>
    <n v="0"/>
    <n v="3"/>
    <n v="1"/>
    <n v="3"/>
    <n v="2"/>
    <x v="49"/>
    <n v="0"/>
    <n v="5000001"/>
    <n v="0"/>
    <n v="0"/>
    <n v="0"/>
    <s v="23p31a1271@aect.dummy.in"/>
  </r>
  <r>
    <x v="505"/>
    <n v="1"/>
    <n v="0"/>
    <n v="0"/>
    <n v="0"/>
    <n v="0"/>
    <n v="1"/>
    <n v="2"/>
    <x v="49"/>
    <n v="0"/>
    <n v="5000001"/>
    <n v="0"/>
    <n v="0"/>
    <n v="0"/>
    <s v="23p31a1277@aect.dummy.in"/>
  </r>
  <r>
    <x v="506"/>
    <n v="0"/>
    <n v="0"/>
    <n v="0"/>
    <n v="0"/>
    <n v="2"/>
    <n v="1"/>
    <n v="1"/>
    <x v="8"/>
    <n v="0"/>
    <n v="0"/>
    <n v="0"/>
    <n v="0"/>
    <n v="101"/>
    <s v="23p31a1285@aect.dummy.in"/>
  </r>
  <r>
    <x v="507"/>
    <n v="4"/>
    <n v="0"/>
    <n v="1"/>
    <n v="4"/>
    <n v="5"/>
    <n v="4"/>
    <n v="4"/>
    <x v="50"/>
    <n v="54"/>
    <n v="1883793"/>
    <n v="43"/>
    <n v="60"/>
    <n v="353"/>
    <s v="23p31a1289@aect.dummy.in"/>
  </r>
  <r>
    <x v="508"/>
    <n v="2"/>
    <n v="0"/>
    <n v="0"/>
    <n v="3"/>
    <n v="5"/>
    <n v="3"/>
    <n v="2"/>
    <x v="49"/>
    <n v="22"/>
    <n v="3151199"/>
    <n v="0"/>
    <n v="0"/>
    <n v="20"/>
    <s v="23p31a1293@aect.dummy.in"/>
  </r>
  <r>
    <x v="509"/>
    <n v="0"/>
    <n v="0"/>
    <n v="0"/>
    <n v="0"/>
    <n v="0"/>
    <n v="0"/>
    <n v="0"/>
    <x v="0"/>
    <n v="0"/>
    <n v="5000001"/>
    <n v="0"/>
    <n v="0"/>
    <n v="0"/>
    <s v="23p31a12a8@aect.dummy.in"/>
  </r>
  <r>
    <x v="510"/>
    <n v="0"/>
    <n v="0"/>
    <n v="2"/>
    <n v="0"/>
    <n v="0"/>
    <n v="1"/>
    <n v="1"/>
    <x v="4"/>
    <n v="0"/>
    <n v="5000001"/>
    <n v="0"/>
    <n v="0"/>
    <n v="48"/>
    <s v="23p31a12a9@aect.dummy.in"/>
  </r>
  <r>
    <x v="511"/>
    <n v="1"/>
    <n v="0"/>
    <n v="0"/>
    <n v="0"/>
    <n v="4"/>
    <n v="2"/>
    <n v="2"/>
    <x v="2"/>
    <n v="20"/>
    <n v="3307411"/>
    <n v="0"/>
    <n v="0"/>
    <n v="21"/>
    <s v="23p31a12b5@aect.dummy.in"/>
  </r>
  <r>
    <x v="512"/>
    <n v="1"/>
    <n v="0"/>
    <n v="3"/>
    <n v="0"/>
    <n v="4"/>
    <n v="3"/>
    <n v="3"/>
    <x v="16"/>
    <n v="36"/>
    <n v="2420866"/>
    <n v="4"/>
    <n v="6"/>
    <n v="338"/>
    <s v="23p31a12b7@aect.dummy.in"/>
  </r>
  <r>
    <x v="513"/>
    <n v="0"/>
    <n v="0"/>
    <n v="1"/>
    <n v="0"/>
    <n v="0"/>
    <n v="1"/>
    <n v="0"/>
    <x v="0"/>
    <n v="13"/>
    <n v="4036921"/>
    <n v="2"/>
    <n v="4"/>
    <n v="91"/>
    <s v="23p31a12c5@aect.dummy.in"/>
  </r>
  <r>
    <x v="514"/>
    <n v="1"/>
    <n v="0"/>
    <n v="0"/>
    <n v="4"/>
    <n v="4"/>
    <n v="3"/>
    <n v="2"/>
    <x v="49"/>
    <n v="20"/>
    <n v="3300356"/>
    <n v="49"/>
    <n v="68"/>
    <n v="261"/>
    <s v="23p31a12d0@aect.dummy.in"/>
  </r>
  <r>
    <x v="515"/>
    <n v="3"/>
    <n v="0"/>
    <n v="2"/>
    <n v="0"/>
    <n v="4"/>
    <n v="3"/>
    <n v="2"/>
    <x v="2"/>
    <n v="73"/>
    <n v="1531684"/>
    <n v="67"/>
    <n v="125"/>
    <n v="314"/>
    <s v="23p31a4202@aect.dummy.in"/>
  </r>
  <r>
    <x v="516"/>
    <n v="3"/>
    <n v="3"/>
    <n v="2"/>
    <n v="3"/>
    <n v="4"/>
    <n v="6"/>
    <n v="2"/>
    <x v="2"/>
    <n v="179"/>
    <n v="691923"/>
    <n v="208"/>
    <n v="334"/>
    <n v="716"/>
    <s v="23p31a4203@aect.dummy.in"/>
  </r>
  <r>
    <x v="517"/>
    <n v="0"/>
    <n v="0"/>
    <n v="0"/>
    <n v="0"/>
    <n v="0"/>
    <n v="0"/>
    <n v="0"/>
    <x v="0"/>
    <n v="9"/>
    <n v="4656154"/>
    <n v="0"/>
    <n v="0"/>
    <n v="0"/>
    <s v="23p31a4205@aect.dummy.in"/>
  </r>
  <r>
    <x v="518"/>
    <n v="4"/>
    <n v="0"/>
    <n v="0"/>
    <n v="1"/>
    <n v="4"/>
    <n v="3"/>
    <n v="2"/>
    <x v="2"/>
    <n v="134"/>
    <n v="931909"/>
    <n v="0"/>
    <n v="0"/>
    <n v="778"/>
    <s v="23p31a4207@aect.dummy.in"/>
  </r>
  <r>
    <x v="519"/>
    <n v="4"/>
    <n v="0"/>
    <n v="1"/>
    <n v="2"/>
    <n v="5"/>
    <n v="4"/>
    <n v="2"/>
    <x v="2"/>
    <n v="40"/>
    <n v="2273836"/>
    <n v="1"/>
    <n v="2"/>
    <n v="100"/>
    <s v="23p31a4209@aect.dummy.in"/>
  </r>
  <r>
    <x v="520"/>
    <n v="3"/>
    <n v="0"/>
    <n v="2"/>
    <n v="2"/>
    <n v="4"/>
    <n v="4"/>
    <n v="3"/>
    <x v="10"/>
    <n v="184"/>
    <n v="671750"/>
    <n v="86"/>
    <n v="193"/>
    <n v="421"/>
    <s v="23p31a4210@aect.dummy.in"/>
  </r>
  <r>
    <x v="521"/>
    <n v="5"/>
    <n v="5"/>
    <n v="5"/>
    <n v="5"/>
    <n v="5"/>
    <n v="6"/>
    <n v="2"/>
    <x v="3"/>
    <n v="454"/>
    <n v="178069"/>
    <n v="280"/>
    <n v="816"/>
    <n v="176"/>
    <s v="23p31a4211@aect.dummy.in"/>
  </r>
  <r>
    <x v="522"/>
    <n v="3"/>
    <n v="0"/>
    <n v="0"/>
    <n v="0"/>
    <n v="5"/>
    <n v="2"/>
    <n v="2"/>
    <x v="2"/>
    <n v="25"/>
    <n v="2943815"/>
    <n v="2"/>
    <n v="6"/>
    <n v="537"/>
    <s v="23p31a4213@aect.dummy.in"/>
  </r>
  <r>
    <x v="523"/>
    <n v="1"/>
    <n v="0"/>
    <n v="0"/>
    <n v="0"/>
    <n v="3"/>
    <n v="2"/>
    <n v="2"/>
    <x v="2"/>
    <n v="28"/>
    <n v="2779956"/>
    <n v="0"/>
    <n v="0"/>
    <n v="537"/>
    <s v="23p31a4214@aect.dummy.in"/>
  </r>
  <r>
    <x v="524"/>
    <n v="0"/>
    <n v="0"/>
    <n v="2"/>
    <n v="3"/>
    <n v="4"/>
    <n v="4"/>
    <n v="1"/>
    <x v="4"/>
    <n v="77"/>
    <n v="1472251"/>
    <n v="124"/>
    <n v="190"/>
    <n v="726"/>
    <s v="23p31a4215@aect.dummy.in"/>
  </r>
  <r>
    <x v="525"/>
    <n v="3"/>
    <n v="0"/>
    <n v="0"/>
    <n v="3"/>
    <n v="5"/>
    <n v="4"/>
    <n v="2"/>
    <x v="2"/>
    <n v="87"/>
    <n v="1342648"/>
    <n v="9"/>
    <n v="16"/>
    <n v="301"/>
    <s v="23p31a4216@aect.dummy.in"/>
  </r>
  <r>
    <x v="526"/>
    <n v="4"/>
    <n v="0"/>
    <n v="4"/>
    <n v="5"/>
    <n v="4"/>
    <n v="5"/>
    <n v="3"/>
    <x v="10"/>
    <n v="70"/>
    <n v="1578327"/>
    <n v="214"/>
    <n v="364"/>
    <n v="473"/>
    <s v="23p31a4217@aect.dummy.in"/>
  </r>
  <r>
    <x v="527"/>
    <n v="4"/>
    <n v="0"/>
    <n v="3"/>
    <n v="2"/>
    <n v="5"/>
    <n v="5"/>
    <n v="2"/>
    <x v="2"/>
    <n v="109"/>
    <n v="1121025"/>
    <n v="56"/>
    <n v="102"/>
    <n v="351"/>
    <s v="23p31a4218@aect.dummy.in"/>
  </r>
  <r>
    <x v="528"/>
    <n v="4"/>
    <n v="0"/>
    <n v="3"/>
    <n v="4"/>
    <n v="4"/>
    <n v="4"/>
    <n v="2"/>
    <x v="2"/>
    <n v="0"/>
    <n v="5000001"/>
    <n v="59"/>
    <n v="111"/>
    <n v="164"/>
    <s v="23p31a4220@aect.dummy.in"/>
  </r>
  <r>
    <x v="529"/>
    <n v="0"/>
    <n v="0"/>
    <n v="0"/>
    <n v="0"/>
    <n v="0"/>
    <n v="0"/>
    <n v="0"/>
    <x v="0"/>
    <n v="60"/>
    <n v="1755135"/>
    <n v="0"/>
    <n v="0"/>
    <n v="222"/>
    <s v="23p31a4221@aect.dummy.in"/>
  </r>
  <r>
    <x v="530"/>
    <n v="2"/>
    <n v="0"/>
    <n v="0"/>
    <n v="1"/>
    <n v="4"/>
    <n v="3"/>
    <n v="2"/>
    <x v="2"/>
    <n v="347"/>
    <n v="286199"/>
    <n v="147"/>
    <n v="406"/>
    <n v="85"/>
    <s v="23p31a4222@aect.dummy.in"/>
  </r>
  <r>
    <x v="531"/>
    <n v="4"/>
    <n v="0"/>
    <n v="0"/>
    <n v="0"/>
    <n v="3"/>
    <n v="2"/>
    <n v="1"/>
    <x v="4"/>
    <n v="10"/>
    <n v="4474893"/>
    <n v="2"/>
    <n v="6"/>
    <n v="218"/>
    <s v="23p31a4223@aect.dummy.in"/>
  </r>
  <r>
    <x v="532"/>
    <n v="3"/>
    <n v="0"/>
    <n v="1"/>
    <n v="1"/>
    <n v="5"/>
    <n v="5"/>
    <n v="3"/>
    <x v="10"/>
    <n v="96"/>
    <n v="1246864"/>
    <n v="24"/>
    <n v="37"/>
    <n v="452"/>
    <s v="23p31a4224@aect.dummy.in"/>
  </r>
  <r>
    <x v="533"/>
    <n v="3"/>
    <n v="3"/>
    <n v="2"/>
    <n v="3"/>
    <n v="5"/>
    <n v="6"/>
    <n v="2"/>
    <x v="2"/>
    <n v="173"/>
    <n v="717935"/>
    <n v="156"/>
    <n v="268"/>
    <n v="607"/>
    <s v="23p31a4225@aect.dummy.in"/>
  </r>
  <r>
    <x v="534"/>
    <n v="4"/>
    <n v="3"/>
    <n v="0"/>
    <n v="3"/>
    <n v="5"/>
    <n v="5"/>
    <n v="3"/>
    <x v="16"/>
    <n v="315"/>
    <n v="333233"/>
    <n v="194"/>
    <n v="456"/>
    <n v="288"/>
    <s v="23p31a4227@aect.dummy.in"/>
  </r>
  <r>
    <x v="535"/>
    <n v="4"/>
    <n v="4"/>
    <n v="2"/>
    <n v="3"/>
    <n v="5"/>
    <n v="6"/>
    <n v="2"/>
    <x v="2"/>
    <n v="388"/>
    <n v="237685"/>
    <n v="226"/>
    <n v="462"/>
    <n v="632"/>
    <s v="23p31a4229@aect.dummy.in"/>
  </r>
  <r>
    <x v="536"/>
    <n v="3"/>
    <n v="0"/>
    <n v="0"/>
    <n v="0"/>
    <n v="4"/>
    <n v="3"/>
    <n v="1"/>
    <x v="4"/>
    <n v="48"/>
    <n v="2035959"/>
    <n v="1"/>
    <n v="2"/>
    <n v="126"/>
    <s v="23p31a4230@aect.dummy.in"/>
  </r>
  <r>
    <x v="537"/>
    <n v="3"/>
    <n v="0"/>
    <n v="0"/>
    <n v="1"/>
    <n v="0"/>
    <n v="2"/>
    <n v="0"/>
    <x v="0"/>
    <n v="45"/>
    <n v="2119965"/>
    <n v="13"/>
    <n v="25"/>
    <n v="717"/>
    <s v="23p31a4231@aect.dummy.in"/>
  </r>
  <r>
    <x v="538"/>
    <n v="1"/>
    <n v="0"/>
    <n v="0"/>
    <n v="0"/>
    <n v="4"/>
    <n v="2"/>
    <n v="2"/>
    <x v="2"/>
    <n v="57"/>
    <n v="1816271"/>
    <n v="0"/>
    <n v="0"/>
    <n v="421"/>
    <s v="23p31a4232@aect.dummy.in"/>
  </r>
  <r>
    <x v="539"/>
    <n v="3"/>
    <n v="0"/>
    <n v="0"/>
    <n v="1"/>
    <n v="4"/>
    <n v="4"/>
    <n v="2"/>
    <x v="2"/>
    <n v="70"/>
    <n v="1577273"/>
    <n v="136"/>
    <n v="202"/>
    <n v="684"/>
    <s v="23p31a4235@aect.dummy.in"/>
  </r>
  <r>
    <x v="540"/>
    <n v="4"/>
    <n v="0"/>
    <n v="0"/>
    <n v="0"/>
    <n v="4"/>
    <n v="3"/>
    <n v="2"/>
    <x v="2"/>
    <n v="118"/>
    <n v="1047335"/>
    <n v="2"/>
    <n v="4"/>
    <n v="266"/>
    <s v="23p31a4236@aect.dummy.in"/>
  </r>
  <r>
    <x v="541"/>
    <n v="3"/>
    <n v="0"/>
    <n v="0"/>
    <n v="2"/>
    <n v="3"/>
    <n v="3"/>
    <n v="2"/>
    <x v="2"/>
    <n v="20"/>
    <n v="3298982"/>
    <n v="10"/>
    <n v="17"/>
    <n v="107"/>
    <s v="23p31a4237@aect.dummy.in"/>
  </r>
  <r>
    <x v="542"/>
    <n v="3"/>
    <n v="0"/>
    <n v="2"/>
    <n v="3"/>
    <n v="5"/>
    <n v="5"/>
    <n v="2"/>
    <x v="2"/>
    <n v="98"/>
    <n v="1227256"/>
    <n v="59"/>
    <n v="88"/>
    <n v="7"/>
    <s v="23p31a4238@aect.dummy.in"/>
  </r>
  <r>
    <x v="543"/>
    <n v="3"/>
    <n v="0"/>
    <n v="0"/>
    <n v="0"/>
    <n v="3"/>
    <n v="2"/>
    <n v="2"/>
    <x v="2"/>
    <n v="11"/>
    <n v="4312045"/>
    <n v="1"/>
    <n v="4"/>
    <n v="39"/>
    <s v="23p31a4240@aect.dummy.in"/>
  </r>
  <r>
    <x v="544"/>
    <n v="2"/>
    <n v="0"/>
    <n v="0"/>
    <n v="0"/>
    <n v="3"/>
    <n v="2"/>
    <n v="0"/>
    <x v="0"/>
    <n v="84"/>
    <n v="1380860"/>
    <n v="27"/>
    <n v="78"/>
    <n v="68"/>
    <s v="23p31a4241@aect.dummy.in"/>
  </r>
  <r>
    <x v="545"/>
    <n v="3"/>
    <n v="0"/>
    <n v="3"/>
    <n v="3"/>
    <n v="4"/>
    <n v="4"/>
    <n v="2"/>
    <x v="2"/>
    <n v="45"/>
    <n v="2117886"/>
    <n v="9"/>
    <n v="13"/>
    <n v="270"/>
    <s v="23p31a4242@aect.dummy.in"/>
  </r>
  <r>
    <x v="546"/>
    <n v="1"/>
    <n v="0"/>
    <n v="0"/>
    <n v="0"/>
    <n v="4"/>
    <n v="2"/>
    <n v="2"/>
    <x v="2"/>
    <n v="50"/>
    <n v="1983886"/>
    <n v="7"/>
    <n v="16"/>
    <n v="357"/>
    <s v="23p31a4243@aect.dummy.in"/>
  </r>
  <r>
    <x v="547"/>
    <n v="0"/>
    <n v="0"/>
    <n v="0"/>
    <n v="0"/>
    <n v="5"/>
    <n v="1"/>
    <n v="2"/>
    <x v="2"/>
    <n v="9"/>
    <n v="4699043"/>
    <n v="0"/>
    <n v="0"/>
    <n v="0"/>
    <s v="23p31a4244@aect.dummy.in"/>
  </r>
  <r>
    <x v="548"/>
    <n v="4"/>
    <n v="3"/>
    <n v="1"/>
    <n v="3"/>
    <n v="1"/>
    <n v="6"/>
    <n v="1"/>
    <x v="4"/>
    <n v="107"/>
    <n v="1139893"/>
    <n v="46"/>
    <n v="159"/>
    <n v="370"/>
    <s v="23p31a4245@aect.dummy.in"/>
  </r>
  <r>
    <x v="549"/>
    <n v="0"/>
    <n v="3"/>
    <n v="0"/>
    <n v="0"/>
    <n v="3"/>
    <n v="2"/>
    <n v="2"/>
    <x v="2"/>
    <n v="9"/>
    <n v="4681650"/>
    <n v="0"/>
    <n v="0"/>
    <n v="7"/>
    <s v="23p31a4246@aect.dummy.in"/>
  </r>
  <r>
    <x v="550"/>
    <n v="1"/>
    <n v="0"/>
    <n v="0"/>
    <n v="0"/>
    <n v="3"/>
    <n v="2"/>
    <n v="1"/>
    <x v="4"/>
    <n v="13"/>
    <n v="4012798"/>
    <n v="0"/>
    <n v="0"/>
    <n v="3"/>
    <s v="23p31a4247@aect.dummy.in"/>
  </r>
  <r>
    <x v="551"/>
    <n v="4"/>
    <n v="1"/>
    <n v="3"/>
    <n v="3"/>
    <n v="3"/>
    <n v="6"/>
    <n v="2"/>
    <x v="2"/>
    <n v="21"/>
    <n v="3222683"/>
    <n v="1"/>
    <n v="2"/>
    <n v="222"/>
    <s v="23p31a4248@aect.dummy.in"/>
  </r>
  <r>
    <x v="552"/>
    <n v="4"/>
    <n v="0"/>
    <n v="0"/>
    <n v="0"/>
    <n v="5"/>
    <n v="3"/>
    <n v="0"/>
    <x v="0"/>
    <n v="373"/>
    <n v="254022"/>
    <n v="264"/>
    <n v="781"/>
    <n v="14"/>
    <s v="23p31a4251@aect.dummy.in"/>
  </r>
  <r>
    <x v="553"/>
    <n v="2"/>
    <n v="0"/>
    <n v="2"/>
    <n v="2"/>
    <n v="3"/>
    <n v="4"/>
    <n v="1"/>
    <x v="8"/>
    <n v="67"/>
    <n v="1626593"/>
    <n v="9"/>
    <n v="14"/>
    <n v="279"/>
    <s v="23p31a4252@aect.dummy.in"/>
  </r>
  <r>
    <x v="554"/>
    <n v="0"/>
    <n v="0"/>
    <n v="0"/>
    <n v="0"/>
    <n v="3"/>
    <n v="2"/>
    <n v="1"/>
    <x v="4"/>
    <n v="0"/>
    <n v="0"/>
    <n v="2"/>
    <n v="6"/>
    <n v="20"/>
    <s v="23p31a4253@aect.dummy.in"/>
  </r>
  <r>
    <x v="555"/>
    <n v="3"/>
    <n v="0"/>
    <n v="0"/>
    <n v="0"/>
    <n v="3"/>
    <n v="2"/>
    <n v="2"/>
    <x v="2"/>
    <n v="29"/>
    <n v="2727244"/>
    <n v="2"/>
    <n v="6"/>
    <n v="51"/>
    <s v="23p31a4254@aect.dummy.in"/>
  </r>
  <r>
    <x v="556"/>
    <n v="0"/>
    <n v="3"/>
    <n v="0"/>
    <n v="0"/>
    <n v="3"/>
    <n v="2"/>
    <n v="2"/>
    <x v="2"/>
    <n v="58"/>
    <n v="1794095"/>
    <n v="0"/>
    <n v="0"/>
    <n v="0"/>
    <s v="23p31a4255@aect.dummy.in"/>
  </r>
  <r>
    <x v="557"/>
    <n v="2"/>
    <n v="0"/>
    <n v="0"/>
    <n v="0"/>
    <n v="5"/>
    <n v="2"/>
    <n v="1"/>
    <x v="4"/>
    <n v="38"/>
    <n v="2338571"/>
    <n v="0"/>
    <n v="0"/>
    <n v="24"/>
    <s v="23p31a4256@aect.dummy.in"/>
  </r>
  <r>
    <x v="558"/>
    <n v="3"/>
    <n v="0"/>
    <n v="0"/>
    <n v="0"/>
    <n v="5"/>
    <n v="2"/>
    <n v="2"/>
    <x v="2"/>
    <n v="30"/>
    <n v="2679633"/>
    <n v="3"/>
    <n v="3"/>
    <n v="66"/>
    <s v="23p31a4257@aect.dummy.in"/>
  </r>
  <r>
    <x v="559"/>
    <n v="3"/>
    <n v="3"/>
    <n v="2"/>
    <n v="3"/>
    <n v="4"/>
    <n v="6"/>
    <n v="2"/>
    <x v="2"/>
    <n v="188"/>
    <n v="655744"/>
    <n v="164"/>
    <n v="277"/>
    <n v="701"/>
    <s v="23p31a4259@aect.dummy.in"/>
  </r>
  <r>
    <x v="560"/>
    <n v="5"/>
    <n v="0"/>
    <n v="2"/>
    <n v="1"/>
    <n v="4"/>
    <n v="5"/>
    <n v="2"/>
    <x v="49"/>
    <n v="52"/>
    <n v="1929569"/>
    <n v="19"/>
    <n v="25"/>
    <n v="932"/>
    <s v="23p31a4261@aect.dummy.in"/>
  </r>
  <r>
    <x v="561"/>
    <n v="3"/>
    <n v="2"/>
    <n v="0"/>
    <n v="2"/>
    <n v="5"/>
    <n v="5"/>
    <n v="2"/>
    <x v="2"/>
    <n v="49"/>
    <n v="2010068"/>
    <n v="28"/>
    <n v="55"/>
    <n v="370"/>
    <s v="23p31a4263@aect.dummy.in"/>
  </r>
  <r>
    <x v="562"/>
    <n v="0"/>
    <n v="0"/>
    <n v="0"/>
    <n v="0"/>
    <n v="0"/>
    <n v="0"/>
    <n v="0"/>
    <x v="0"/>
    <n v="15"/>
    <n v="3772903"/>
    <n v="4"/>
    <n v="5"/>
    <n v="209"/>
    <s v="23p31a4265@aect.dummy.in"/>
  </r>
  <r>
    <x v="563"/>
    <n v="2"/>
    <n v="0"/>
    <n v="0"/>
    <n v="0"/>
    <n v="1"/>
    <n v="2"/>
    <n v="0"/>
    <x v="0"/>
    <n v="0"/>
    <n v="5000001"/>
    <n v="0"/>
    <n v="0"/>
    <n v="168"/>
    <s v="23p31a4266@aect.dummy.in"/>
  </r>
  <r>
    <x v="564"/>
    <n v="4"/>
    <n v="5"/>
    <n v="5"/>
    <n v="5"/>
    <n v="5"/>
    <n v="6"/>
    <n v="2"/>
    <x v="3"/>
    <n v="344"/>
    <n v="290220"/>
    <n v="227"/>
    <n v="694"/>
    <n v="15"/>
    <s v="23p31a4267@aect.dummy.in"/>
  </r>
  <r>
    <x v="565"/>
    <n v="0"/>
    <n v="0"/>
    <n v="1"/>
    <n v="0"/>
    <n v="4"/>
    <n v="2"/>
    <n v="2"/>
    <x v="2"/>
    <n v="13"/>
    <n v="3997277"/>
    <n v="1"/>
    <n v="1"/>
    <n v="14"/>
    <s v="23p31a4268@aect.dummy.in"/>
  </r>
  <r>
    <x v="566"/>
    <n v="3"/>
    <n v="0"/>
    <n v="0"/>
    <n v="0"/>
    <n v="3"/>
    <n v="3"/>
    <n v="2"/>
    <x v="2"/>
    <n v="50"/>
    <n v="1978679"/>
    <n v="2"/>
    <n v="6"/>
    <n v="401"/>
    <s v="23p31a4271@aect.dummy.in"/>
  </r>
  <r>
    <x v="567"/>
    <n v="3"/>
    <n v="0"/>
    <n v="0"/>
    <n v="3"/>
    <n v="4"/>
    <n v="3"/>
    <n v="2"/>
    <x v="2"/>
    <n v="35"/>
    <n v="2458087"/>
    <n v="7"/>
    <n v="15"/>
    <n v="593"/>
    <s v="23p31a4272@aect.dummy.in"/>
  </r>
  <r>
    <x v="568"/>
    <n v="3"/>
    <n v="0"/>
    <n v="0"/>
    <n v="1"/>
    <n v="4"/>
    <n v="4"/>
    <n v="2"/>
    <x v="2"/>
    <n v="39"/>
    <n v="2306957"/>
    <n v="84"/>
    <n v="123"/>
    <n v="250"/>
    <s v="23p31a4274@aect.dummy.in"/>
  </r>
  <r>
    <x v="569"/>
    <n v="0"/>
    <n v="0"/>
    <n v="0"/>
    <n v="0"/>
    <n v="0"/>
    <n v="0"/>
    <n v="0"/>
    <x v="0"/>
    <n v="0"/>
    <n v="5000001"/>
    <n v="0"/>
    <n v="0"/>
    <n v="0"/>
    <s v="23p31a4281@aect.dummy.in"/>
  </r>
  <r>
    <x v="570"/>
    <n v="0"/>
    <n v="0"/>
    <n v="0"/>
    <n v="0"/>
    <n v="0"/>
    <n v="0"/>
    <n v="0"/>
    <x v="0"/>
    <n v="0"/>
    <n v="5000001"/>
    <n v="0"/>
    <n v="0"/>
    <n v="0"/>
    <s v="23p31a4295@aect.dummy.in"/>
  </r>
  <r>
    <x v="571"/>
    <n v="0"/>
    <n v="0"/>
    <n v="0"/>
    <n v="0"/>
    <n v="0"/>
    <n v="0"/>
    <n v="0"/>
    <x v="0"/>
    <n v="5"/>
    <n v="5000001"/>
    <n v="0"/>
    <n v="0"/>
    <n v="0"/>
    <s v="23p31a42a1@aect.dummy.in"/>
  </r>
  <r>
    <x v="572"/>
    <n v="0"/>
    <n v="0"/>
    <n v="0"/>
    <n v="0"/>
    <n v="0"/>
    <n v="0"/>
    <n v="0"/>
    <x v="0"/>
    <n v="0"/>
    <n v="5000001"/>
    <n v="0"/>
    <n v="0"/>
    <n v="0"/>
    <s v="23p31a42a8@aect.dummy.in"/>
  </r>
  <r>
    <x v="573"/>
    <n v="0"/>
    <n v="0"/>
    <n v="3"/>
    <n v="2"/>
    <n v="1"/>
    <n v="3"/>
    <n v="0"/>
    <x v="0"/>
    <n v="7"/>
    <n v="5000001"/>
    <n v="4"/>
    <n v="3"/>
    <n v="167"/>
    <s v="23p31a42c1@aect.dummy.in"/>
  </r>
  <r>
    <x v="574"/>
    <n v="0"/>
    <n v="0"/>
    <n v="0"/>
    <n v="0"/>
    <n v="0"/>
    <n v="0"/>
    <n v="0"/>
    <x v="0"/>
    <n v="0"/>
    <n v="5000001"/>
    <n v="0"/>
    <n v="0"/>
    <n v="0"/>
    <s v="23p31a42e2@aect.dummy.in"/>
  </r>
  <r>
    <x v="575"/>
    <n v="0"/>
    <n v="0"/>
    <n v="0"/>
    <n v="0"/>
    <n v="3"/>
    <n v="1"/>
    <n v="3"/>
    <x v="10"/>
    <n v="25"/>
    <n v="2952804"/>
    <n v="46"/>
    <n v="67"/>
    <n v="115"/>
    <s v="23p31a42f6@aect.dummy.in"/>
  </r>
  <r>
    <x v="576"/>
    <n v="0"/>
    <n v="0"/>
    <n v="0"/>
    <n v="0"/>
    <n v="5"/>
    <n v="1"/>
    <n v="4"/>
    <x v="51"/>
    <n v="27"/>
    <n v="2838389"/>
    <n v="0"/>
    <n v="0"/>
    <n v="0"/>
    <s v="23p31a42g3@aect.dummy.in"/>
  </r>
  <r>
    <x v="577"/>
    <n v="0"/>
    <n v="0"/>
    <n v="0"/>
    <n v="0"/>
    <n v="3"/>
    <n v="1"/>
    <n v="1"/>
    <x v="4"/>
    <n v="3"/>
    <n v="5000001"/>
    <n v="0"/>
    <n v="0"/>
    <n v="0"/>
    <s v="23p31a4402@aect.dummy.in"/>
  </r>
  <r>
    <x v="578"/>
    <n v="0"/>
    <n v="0"/>
    <n v="0"/>
    <n v="0"/>
    <n v="0"/>
    <n v="1"/>
    <n v="0"/>
    <x v="0"/>
    <n v="5"/>
    <n v="5000001"/>
    <n v="0"/>
    <n v="0"/>
    <n v="10"/>
    <s v="23p31a4403@aect.dummy.in"/>
  </r>
  <r>
    <x v="579"/>
    <n v="0"/>
    <n v="0"/>
    <n v="0"/>
    <n v="0"/>
    <n v="0"/>
    <n v="0"/>
    <n v="0"/>
    <x v="0"/>
    <n v="0"/>
    <n v="5000001"/>
    <n v="0"/>
    <n v="0"/>
    <n v="285"/>
    <s v="23p31a4404@aect.dummy.in"/>
  </r>
  <r>
    <x v="580"/>
    <n v="0"/>
    <n v="0"/>
    <n v="0"/>
    <n v="0"/>
    <n v="0"/>
    <n v="0"/>
    <n v="0"/>
    <x v="0"/>
    <n v="5"/>
    <n v="5000001"/>
    <n v="0"/>
    <n v="0"/>
    <n v="77"/>
    <s v="23p31a4405@aect.dummy.in"/>
  </r>
  <r>
    <x v="581"/>
    <n v="3"/>
    <n v="0"/>
    <n v="0"/>
    <n v="0"/>
    <n v="1"/>
    <n v="3"/>
    <n v="0"/>
    <x v="0"/>
    <n v="69"/>
    <n v="1593356"/>
    <n v="93"/>
    <n v="238"/>
    <n v="164"/>
    <s v="23p31a4410@aect.dummy.in"/>
  </r>
  <r>
    <x v="582"/>
    <n v="1"/>
    <n v="0"/>
    <n v="0"/>
    <n v="0"/>
    <n v="0"/>
    <n v="1"/>
    <n v="0"/>
    <x v="0"/>
    <n v="0"/>
    <n v="5000001"/>
    <n v="0"/>
    <n v="0"/>
    <n v="146"/>
    <s v="23p31a4414@aect.dummy.in"/>
  </r>
  <r>
    <x v="583"/>
    <n v="0"/>
    <n v="0"/>
    <n v="0"/>
    <n v="0"/>
    <n v="0"/>
    <n v="0"/>
    <n v="0"/>
    <x v="0"/>
    <n v="33"/>
    <n v="2540795"/>
    <n v="0"/>
    <n v="0"/>
    <n v="368"/>
    <s v="23p31a4416@aect.dummy.in"/>
  </r>
  <r>
    <x v="584"/>
    <n v="1"/>
    <n v="0"/>
    <n v="0"/>
    <n v="0"/>
    <n v="0"/>
    <n v="2"/>
    <n v="0"/>
    <x v="0"/>
    <n v="7"/>
    <n v="5000001"/>
    <n v="0"/>
    <n v="0"/>
    <n v="43"/>
    <s v="23p31a4419@aect.dummy.in"/>
  </r>
  <r>
    <x v="585"/>
    <n v="0"/>
    <n v="0"/>
    <n v="0"/>
    <n v="0"/>
    <n v="0"/>
    <n v="1"/>
    <n v="0"/>
    <x v="0"/>
    <n v="2"/>
    <n v="5000001"/>
    <n v="0"/>
    <n v="0"/>
    <n v="54"/>
    <s v="23p31a4421@aect.dummy.in"/>
  </r>
  <r>
    <x v="586"/>
    <n v="3"/>
    <n v="0"/>
    <n v="0"/>
    <n v="0"/>
    <n v="0"/>
    <n v="2"/>
    <n v="0"/>
    <x v="0"/>
    <n v="56"/>
    <n v="1836022"/>
    <n v="48"/>
    <n v="117"/>
    <n v="69"/>
    <s v="23p31a4422@aect.dummy.in"/>
  </r>
  <r>
    <x v="587"/>
    <n v="1"/>
    <n v="0"/>
    <n v="0"/>
    <n v="0"/>
    <n v="0"/>
    <n v="1"/>
    <n v="0"/>
    <x v="0"/>
    <n v="4"/>
    <n v="5000001"/>
    <n v="5"/>
    <n v="9"/>
    <n v="138"/>
    <s v="23p31a4426@aect.dummy.in"/>
  </r>
  <r>
    <x v="588"/>
    <n v="3"/>
    <n v="1"/>
    <n v="2"/>
    <n v="3"/>
    <n v="0"/>
    <n v="5"/>
    <n v="0"/>
    <x v="0"/>
    <n v="11"/>
    <n v="4298123"/>
    <n v="7"/>
    <n v="13"/>
    <n v="671"/>
    <s v="23p31a4430@aect.dummy.in"/>
  </r>
  <r>
    <x v="589"/>
    <n v="3"/>
    <n v="1"/>
    <n v="2"/>
    <n v="3"/>
    <n v="1"/>
    <n v="6"/>
    <n v="0"/>
    <x v="0"/>
    <n v="25"/>
    <n v="2937465"/>
    <n v="48"/>
    <n v="103"/>
    <n v="692"/>
    <s v="23p31a4434@aect.dummy.in"/>
  </r>
  <r>
    <x v="590"/>
    <n v="3"/>
    <n v="0"/>
    <n v="0"/>
    <n v="0"/>
    <n v="0"/>
    <n v="1"/>
    <n v="0"/>
    <x v="0"/>
    <n v="2"/>
    <n v="5000001"/>
    <n v="2"/>
    <n v="4"/>
    <n v="575"/>
    <s v="23p31a4436@aect.dummy.in"/>
  </r>
  <r>
    <x v="591"/>
    <n v="3"/>
    <n v="0"/>
    <n v="0"/>
    <n v="0"/>
    <n v="0"/>
    <n v="1"/>
    <n v="0"/>
    <x v="0"/>
    <n v="15"/>
    <n v="3763083"/>
    <n v="2"/>
    <n v="2"/>
    <n v="481"/>
    <s v="23p31a4441@aect.dummy.in"/>
  </r>
  <r>
    <x v="592"/>
    <n v="3"/>
    <n v="0"/>
    <n v="0"/>
    <n v="0"/>
    <n v="0"/>
    <n v="1"/>
    <n v="0"/>
    <x v="0"/>
    <n v="1"/>
    <n v="5000001"/>
    <n v="2"/>
    <n v="4"/>
    <n v="15"/>
    <s v="23p31a4442@aect.dummy.in"/>
  </r>
  <r>
    <x v="593"/>
    <n v="0"/>
    <n v="0"/>
    <n v="0"/>
    <n v="0"/>
    <n v="0"/>
    <n v="0"/>
    <n v="0"/>
    <x v="0"/>
    <n v="0"/>
    <n v="5000001"/>
    <n v="0"/>
    <n v="0"/>
    <n v="0"/>
    <s v="23p31a4443@aect.dummy.in"/>
  </r>
  <r>
    <x v="594"/>
    <n v="3"/>
    <n v="0"/>
    <n v="2"/>
    <n v="3"/>
    <n v="0"/>
    <n v="4"/>
    <n v="0"/>
    <x v="0"/>
    <n v="5"/>
    <n v="5000001"/>
    <n v="11"/>
    <n v="18"/>
    <n v="445"/>
    <s v="23p31a4444@aect.dummy.in"/>
  </r>
  <r>
    <x v="595"/>
    <n v="1"/>
    <n v="0"/>
    <n v="0"/>
    <n v="1"/>
    <n v="0"/>
    <n v="2"/>
    <n v="0"/>
    <x v="0"/>
    <n v="0"/>
    <n v="5000001"/>
    <n v="2"/>
    <n v="3"/>
    <n v="102"/>
    <s v="23p31a4465@aect.dummy.in"/>
  </r>
  <r>
    <x v="596"/>
    <n v="4"/>
    <n v="0"/>
    <n v="4"/>
    <n v="5"/>
    <n v="5"/>
    <n v="4"/>
    <n v="2"/>
    <x v="19"/>
    <n v="3"/>
    <n v="5000001"/>
    <n v="1"/>
    <n v="2"/>
    <n v="193"/>
    <s v="23p31a4466@aect.dummy.in"/>
  </r>
  <r>
    <x v="597"/>
    <n v="0"/>
    <n v="0"/>
    <n v="0"/>
    <n v="0"/>
    <n v="0"/>
    <n v="0"/>
    <n v="0"/>
    <x v="0"/>
    <n v="1"/>
    <n v="5000001"/>
    <n v="0"/>
    <n v="0"/>
    <n v="129"/>
    <s v="23p31a4467@aect.dummy.in"/>
  </r>
  <r>
    <x v="598"/>
    <n v="0"/>
    <n v="0"/>
    <n v="0"/>
    <n v="0"/>
    <n v="0"/>
    <n v="0"/>
    <n v="0"/>
    <x v="0"/>
    <n v="0"/>
    <n v="5000001"/>
    <n v="0"/>
    <n v="0"/>
    <n v="0"/>
    <s v="23p31a4475@aect.dummy.in"/>
  </r>
  <r>
    <x v="599"/>
    <n v="4"/>
    <n v="0"/>
    <n v="0"/>
    <n v="0"/>
    <n v="1"/>
    <n v="2"/>
    <n v="1"/>
    <x v="35"/>
    <n v="1"/>
    <n v="5000001"/>
    <n v="4"/>
    <n v="6"/>
    <n v="99"/>
    <s v="23p31a4477@aect.dummy.in"/>
  </r>
  <r>
    <x v="600"/>
    <n v="0"/>
    <n v="0"/>
    <n v="2"/>
    <n v="0"/>
    <n v="0"/>
    <n v="1"/>
    <n v="0"/>
    <x v="0"/>
    <n v="0"/>
    <n v="5000001"/>
    <n v="0"/>
    <n v="0"/>
    <n v="72"/>
    <s v="23p31a4479@aect.dummy.in"/>
  </r>
  <r>
    <x v="601"/>
    <n v="0"/>
    <n v="0"/>
    <n v="0"/>
    <n v="0"/>
    <n v="0"/>
    <n v="0"/>
    <n v="0"/>
    <x v="0"/>
    <n v="0"/>
    <n v="5000001"/>
    <n v="0"/>
    <n v="0"/>
    <n v="0"/>
    <s v="23p31a4482@aect.dummy.in"/>
  </r>
  <r>
    <x v="602"/>
    <n v="0"/>
    <n v="0"/>
    <n v="0"/>
    <n v="0"/>
    <n v="0"/>
    <n v="0"/>
    <n v="0"/>
    <x v="0"/>
    <n v="0"/>
    <n v="5000001"/>
    <n v="0"/>
    <n v="0"/>
    <n v="0"/>
    <s v="23p31a4484@aect.dummy.in"/>
  </r>
  <r>
    <x v="603"/>
    <n v="0"/>
    <n v="0"/>
    <n v="0"/>
    <n v="0"/>
    <n v="0"/>
    <n v="0"/>
    <n v="0"/>
    <x v="0"/>
    <n v="0"/>
    <n v="5000001"/>
    <n v="0"/>
    <n v="0"/>
    <n v="0"/>
    <s v="23p31a4486@aect.dummy.in"/>
  </r>
  <r>
    <x v="604"/>
    <n v="0"/>
    <n v="0"/>
    <n v="0"/>
    <n v="2"/>
    <n v="0"/>
    <n v="1"/>
    <n v="0"/>
    <x v="0"/>
    <n v="0"/>
    <n v="5000001"/>
    <n v="0"/>
    <n v="0"/>
    <n v="4"/>
    <s v="23p31a4487@aect.dummy.in"/>
  </r>
  <r>
    <x v="605"/>
    <n v="0"/>
    <n v="0"/>
    <n v="0"/>
    <n v="0"/>
    <n v="0"/>
    <n v="0"/>
    <n v="0"/>
    <x v="0"/>
    <n v="3"/>
    <n v="5000001"/>
    <n v="0"/>
    <n v="0"/>
    <n v="132"/>
    <s v="23p31a4490@aect.dummy.in"/>
  </r>
  <r>
    <x v="606"/>
    <n v="0"/>
    <n v="0"/>
    <n v="0"/>
    <n v="0"/>
    <n v="0"/>
    <n v="0"/>
    <n v="0"/>
    <x v="0"/>
    <n v="0"/>
    <n v="5000001"/>
    <n v="0"/>
    <n v="0"/>
    <n v="0"/>
    <s v="23p31a4497@aect.dummy.in"/>
  </r>
  <r>
    <x v="607"/>
    <n v="0"/>
    <n v="0"/>
    <n v="0"/>
    <n v="0"/>
    <n v="0"/>
    <n v="0"/>
    <n v="0"/>
    <x v="0"/>
    <n v="0"/>
    <n v="5000001"/>
    <n v="0"/>
    <n v="0"/>
    <n v="4"/>
    <s v="23p31a4498@aect.dummy.in"/>
  </r>
  <r>
    <x v="608"/>
    <n v="0"/>
    <n v="0"/>
    <n v="0"/>
    <n v="0"/>
    <n v="0"/>
    <n v="0"/>
    <n v="0"/>
    <x v="0"/>
    <n v="0"/>
    <n v="5000001"/>
    <n v="0"/>
    <n v="0"/>
    <n v="0"/>
    <s v="23p31a44a0@aect.dummy.in"/>
  </r>
  <r>
    <x v="609"/>
    <n v="0"/>
    <n v="0"/>
    <n v="1"/>
    <n v="0"/>
    <n v="0"/>
    <n v="1"/>
    <n v="0"/>
    <x v="0"/>
    <n v="0"/>
    <n v="5000001"/>
    <n v="0"/>
    <n v="0"/>
    <n v="75"/>
    <s v="23p31a44a3@aect.dummy.in"/>
  </r>
  <r>
    <x v="610"/>
    <n v="0"/>
    <n v="0"/>
    <n v="0"/>
    <n v="0"/>
    <n v="0"/>
    <n v="0"/>
    <n v="0"/>
    <x v="0"/>
    <n v="0"/>
    <n v="5000001"/>
    <n v="0"/>
    <n v="0"/>
    <n v="0"/>
    <s v="23p31a44a6@aect.dummy.in"/>
  </r>
  <r>
    <x v="611"/>
    <n v="2"/>
    <n v="0"/>
    <n v="1"/>
    <n v="2"/>
    <n v="0"/>
    <n v="3"/>
    <n v="0"/>
    <x v="0"/>
    <n v="0"/>
    <n v="5000001"/>
    <n v="0"/>
    <n v="0"/>
    <n v="529"/>
    <s v="23p31a44c4@aect.dummy.in"/>
  </r>
  <r>
    <x v="612"/>
    <n v="0"/>
    <n v="0"/>
    <n v="0"/>
    <n v="0"/>
    <n v="0"/>
    <n v="0"/>
    <n v="0"/>
    <x v="0"/>
    <n v="0"/>
    <n v="5000001"/>
    <n v="0"/>
    <n v="0"/>
    <n v="13"/>
    <s v="24a95a0403@aect.dummy.in"/>
  </r>
  <r>
    <x v="613"/>
    <n v="0"/>
    <n v="0"/>
    <n v="0"/>
    <n v="0"/>
    <n v="0"/>
    <n v="0"/>
    <n v="0"/>
    <x v="0"/>
    <n v="0"/>
    <n v="5000001"/>
    <n v="0"/>
    <n v="0"/>
    <n v="0"/>
    <s v="24a95a0406@aect.dummy.in"/>
  </r>
  <r>
    <x v="614"/>
    <n v="0"/>
    <n v="0"/>
    <n v="0"/>
    <n v="0"/>
    <n v="0"/>
    <n v="0"/>
    <n v="0"/>
    <x v="0"/>
    <n v="0"/>
    <n v="5000001"/>
    <n v="0"/>
    <n v="0"/>
    <n v="93"/>
    <s v="24a95a0407@aect.dummy.in"/>
  </r>
  <r>
    <x v="615"/>
    <n v="0"/>
    <n v="0"/>
    <n v="0"/>
    <n v="0"/>
    <n v="0"/>
    <n v="0"/>
    <n v="0"/>
    <x v="0"/>
    <n v="0"/>
    <n v="5000001"/>
    <n v="0"/>
    <n v="0"/>
    <n v="118"/>
    <s v="24a95a0408@aect.dummy.in"/>
  </r>
  <r>
    <x v="616"/>
    <n v="0"/>
    <n v="0"/>
    <n v="0"/>
    <n v="0"/>
    <n v="0"/>
    <n v="0"/>
    <n v="0"/>
    <x v="0"/>
    <n v="0"/>
    <n v="5000001"/>
    <n v="0"/>
    <n v="0"/>
    <n v="121"/>
    <s v="24a95a0412@aect.dummy.in"/>
  </r>
  <r>
    <x v="617"/>
    <n v="0"/>
    <n v="0"/>
    <n v="0"/>
    <n v="0"/>
    <n v="0"/>
    <n v="0"/>
    <n v="0"/>
    <x v="0"/>
    <n v="0"/>
    <n v="5000001"/>
    <n v="0"/>
    <n v="0"/>
    <n v="2"/>
    <s v="24a95a0413@aect.dummy.in"/>
  </r>
  <r>
    <x v="618"/>
    <n v="0"/>
    <n v="0"/>
    <n v="0"/>
    <n v="0"/>
    <n v="0"/>
    <n v="0"/>
    <n v="0"/>
    <x v="0"/>
    <n v="0"/>
    <n v="5000001"/>
    <n v="0"/>
    <n v="0"/>
    <n v="0"/>
    <s v="24a95a0414@aect.dummy.in"/>
  </r>
  <r>
    <x v="619"/>
    <n v="0"/>
    <n v="0"/>
    <n v="0"/>
    <n v="0"/>
    <n v="0"/>
    <n v="0"/>
    <n v="0"/>
    <x v="0"/>
    <n v="0"/>
    <n v="5000001"/>
    <n v="0"/>
    <n v="0"/>
    <n v="0"/>
    <s v="24a95a0415@aect.dummy.in"/>
  </r>
  <r>
    <x v="620"/>
    <n v="0"/>
    <n v="0"/>
    <n v="0"/>
    <n v="0"/>
    <n v="0"/>
    <n v="0"/>
    <n v="0"/>
    <x v="0"/>
    <n v="0"/>
    <n v="5000001"/>
    <n v="0"/>
    <n v="0"/>
    <n v="0"/>
    <s v="24a95a0421@aect.dummy.in"/>
  </r>
  <r>
    <x v="621"/>
    <n v="0"/>
    <n v="0"/>
    <n v="0"/>
    <n v="3"/>
    <n v="0"/>
    <n v="1"/>
    <n v="0"/>
    <x v="0"/>
    <n v="0"/>
    <n v="5000001"/>
    <n v="0"/>
    <n v="0"/>
    <n v="108"/>
    <s v="24a95a0424@aect.dummy.in"/>
  </r>
  <r>
    <x v="622"/>
    <n v="0"/>
    <n v="0"/>
    <n v="0"/>
    <n v="0"/>
    <n v="0"/>
    <n v="0"/>
    <n v="0"/>
    <x v="0"/>
    <n v="0"/>
    <n v="5000001"/>
    <n v="0"/>
    <n v="0"/>
    <n v="0"/>
    <s v="24a95a0425@aect.dummy.in"/>
  </r>
  <r>
    <x v="623"/>
    <n v="0"/>
    <n v="0"/>
    <n v="1"/>
    <n v="5"/>
    <n v="4"/>
    <n v="4"/>
    <n v="2"/>
    <x v="2"/>
    <n v="70"/>
    <n v="1577855"/>
    <n v="99"/>
    <n v="254"/>
    <n v="60"/>
    <s v="24a95a0502@aect.dummy.in"/>
  </r>
  <r>
    <x v="624"/>
    <n v="2"/>
    <n v="0"/>
    <n v="0"/>
    <n v="5"/>
    <n v="5"/>
    <n v="3"/>
    <n v="1"/>
    <x v="4"/>
    <n v="0"/>
    <n v="5000001"/>
    <n v="0"/>
    <n v="0"/>
    <n v="125"/>
    <s v="24a95a0505@aect.dummy.in"/>
  </r>
  <r>
    <x v="625"/>
    <n v="0"/>
    <n v="0"/>
    <n v="0"/>
    <n v="0"/>
    <n v="4"/>
    <n v="2"/>
    <n v="1"/>
    <x v="4"/>
    <n v="3"/>
    <n v="5000001"/>
    <n v="144"/>
    <n v="298"/>
    <n v="73"/>
    <s v="24a95a0510@aect.dummy.in"/>
  </r>
  <r>
    <x v="626"/>
    <n v="0"/>
    <n v="0"/>
    <n v="4"/>
    <n v="4"/>
    <n v="3"/>
    <n v="4"/>
    <n v="1"/>
    <x v="4"/>
    <n v="234"/>
    <n v="503642"/>
    <n v="126"/>
    <n v="311"/>
    <n v="189"/>
    <s v="24a95a0511@aect.dummy.in"/>
  </r>
  <r>
    <x v="627"/>
    <n v="1"/>
    <n v="0"/>
    <n v="1"/>
    <n v="3"/>
    <n v="5"/>
    <n v="5"/>
    <n v="2"/>
    <x v="52"/>
    <n v="107"/>
    <n v="1139598"/>
    <n v="25"/>
    <n v="76"/>
    <n v="125"/>
    <s v="24a95a0512@aect.dummy.in"/>
  </r>
  <r>
    <x v="628"/>
    <n v="0"/>
    <n v="0"/>
    <n v="5"/>
    <n v="5"/>
    <n v="5"/>
    <n v="3"/>
    <n v="1"/>
    <x v="4"/>
    <n v="9"/>
    <n v="4701120"/>
    <n v="0"/>
    <n v="0"/>
    <n v="211"/>
    <s v="24a95a0514@aect.dummy.in"/>
  </r>
  <r>
    <x v="629"/>
    <n v="4"/>
    <n v="0"/>
    <n v="1"/>
    <n v="0"/>
    <n v="3"/>
    <n v="4"/>
    <n v="2"/>
    <x v="2"/>
    <n v="253"/>
    <n v="454653"/>
    <n v="0"/>
    <n v="0"/>
    <n v="82"/>
    <s v="24a95a0515@aect.dummy.in"/>
  </r>
  <r>
    <x v="630"/>
    <n v="3"/>
    <n v="2"/>
    <n v="2"/>
    <n v="4"/>
    <n v="4"/>
    <n v="6"/>
    <n v="4"/>
    <x v="53"/>
    <n v="227"/>
    <n v="523561"/>
    <n v="118"/>
    <n v="177"/>
    <n v="745"/>
    <s v="24a95a0517@aect.dummy.in"/>
  </r>
  <r>
    <x v="631"/>
    <n v="0"/>
    <n v="0"/>
    <n v="0"/>
    <n v="2"/>
    <n v="0"/>
    <n v="2"/>
    <n v="2"/>
    <x v="12"/>
    <n v="101"/>
    <n v="1198095"/>
    <n v="10"/>
    <n v="38"/>
    <n v="29"/>
    <s v="24a95a1202@aect.dummy.in"/>
  </r>
  <r>
    <x v="632"/>
    <n v="0"/>
    <n v="0"/>
    <n v="0"/>
    <n v="2"/>
    <n v="0"/>
    <n v="1"/>
    <n v="0"/>
    <x v="0"/>
    <n v="9"/>
    <n v="4691185"/>
    <n v="0"/>
    <n v="0"/>
    <n v="42"/>
    <s v="24a95a6101@aect.dummy.in"/>
  </r>
  <r>
    <x v="633"/>
    <n v="1"/>
    <n v="0"/>
    <n v="5"/>
    <n v="3"/>
    <n v="0"/>
    <n v="3"/>
    <n v="1"/>
    <x v="30"/>
    <n v="0"/>
    <n v="5000001"/>
    <n v="0"/>
    <n v="0"/>
    <n v="73"/>
    <s v="24a95a6108@aect.dummy.in"/>
  </r>
  <r>
    <x v="634"/>
    <n v="0"/>
    <n v="0"/>
    <n v="4"/>
    <n v="4"/>
    <n v="5"/>
    <n v="3"/>
    <n v="3"/>
    <x v="6"/>
    <n v="146"/>
    <n v="858230"/>
    <n v="72"/>
    <n v="116"/>
    <n v="545"/>
    <s v="24a95a6109@aect.dummy.in"/>
  </r>
  <r>
    <x v="635"/>
    <n v="0"/>
    <n v="0"/>
    <n v="0"/>
    <n v="2"/>
    <n v="0"/>
    <n v="1"/>
    <n v="0"/>
    <x v="0"/>
    <n v="0"/>
    <n v="5000001"/>
    <n v="0"/>
    <n v="0"/>
    <n v="0"/>
    <s v="24p35a0401@aect.dummy.in"/>
  </r>
  <r>
    <x v="636"/>
    <n v="0"/>
    <n v="0"/>
    <n v="0"/>
    <n v="0"/>
    <n v="0"/>
    <n v="0"/>
    <n v="0"/>
    <x v="0"/>
    <n v="0"/>
    <n v="5000001"/>
    <n v="0"/>
    <n v="0"/>
    <n v="0"/>
    <s v="24p35a0402@aect.dummy.in"/>
  </r>
  <r>
    <x v="637"/>
    <n v="0"/>
    <n v="0"/>
    <n v="0"/>
    <n v="0"/>
    <n v="0"/>
    <n v="0"/>
    <n v="0"/>
    <x v="0"/>
    <n v="0"/>
    <n v="5000001"/>
    <n v="0"/>
    <n v="0"/>
    <n v="0"/>
    <s v="24p35a0403@aect.dummy.in"/>
  </r>
  <r>
    <x v="638"/>
    <n v="0"/>
    <n v="0"/>
    <n v="0"/>
    <n v="0"/>
    <n v="0"/>
    <n v="0"/>
    <n v="0"/>
    <x v="0"/>
    <n v="0"/>
    <n v="5000001"/>
    <n v="0"/>
    <n v="0"/>
    <n v="0"/>
    <s v="24p35a0407@aect.dummy.in"/>
  </r>
  <r>
    <x v="639"/>
    <n v="0"/>
    <n v="0"/>
    <n v="0"/>
    <n v="2"/>
    <n v="0"/>
    <n v="1"/>
    <n v="0"/>
    <x v="0"/>
    <n v="0"/>
    <n v="5000001"/>
    <n v="0"/>
    <n v="0"/>
    <n v="0"/>
    <s v="24p35a0413@aect.dummy.in"/>
  </r>
  <r>
    <x v="640"/>
    <n v="0"/>
    <n v="0"/>
    <n v="0"/>
    <n v="0"/>
    <n v="0"/>
    <n v="0"/>
    <n v="0"/>
    <x v="0"/>
    <n v="0"/>
    <n v="5000001"/>
    <n v="0"/>
    <n v="0"/>
    <n v="0"/>
    <s v="24p35a0422@aect.dummy.in"/>
  </r>
  <r>
    <x v="641"/>
    <n v="0"/>
    <n v="0"/>
    <n v="0"/>
    <n v="0"/>
    <n v="0"/>
    <n v="0"/>
    <n v="0"/>
    <x v="0"/>
    <n v="0"/>
    <n v="5000001"/>
    <n v="0"/>
    <n v="0"/>
    <n v="21"/>
    <s v="24p35a0430@aect.dummy.in"/>
  </r>
  <r>
    <x v="642"/>
    <n v="0"/>
    <n v="0"/>
    <n v="0"/>
    <n v="2"/>
    <n v="0"/>
    <n v="1"/>
    <n v="0"/>
    <x v="0"/>
    <n v="0"/>
    <n v="5000001"/>
    <n v="0"/>
    <n v="0"/>
    <n v="0"/>
    <s v="24p35a0431@aect.dummy.in"/>
  </r>
  <r>
    <x v="643"/>
    <n v="0"/>
    <n v="0"/>
    <n v="0"/>
    <n v="0"/>
    <n v="0"/>
    <n v="0"/>
    <n v="0"/>
    <x v="0"/>
    <n v="0"/>
    <n v="5000001"/>
    <n v="0"/>
    <n v="0"/>
    <n v="0"/>
    <s v="24p35a0436@aect.dummy.in"/>
  </r>
  <r>
    <x v="644"/>
    <n v="2"/>
    <n v="0"/>
    <n v="0"/>
    <n v="0"/>
    <n v="0"/>
    <n v="1"/>
    <n v="0"/>
    <x v="0"/>
    <n v="0"/>
    <n v="5000001"/>
    <n v="0"/>
    <n v="0"/>
    <n v="111"/>
    <s v="24p35a0513@aect.dummy.in"/>
  </r>
  <r>
    <x v="645"/>
    <n v="0"/>
    <n v="0"/>
    <n v="0"/>
    <n v="1"/>
    <n v="0"/>
    <n v="1"/>
    <n v="0"/>
    <x v="0"/>
    <n v="13"/>
    <n v="4029785"/>
    <n v="0"/>
    <n v="0"/>
    <n v="0"/>
    <s v="24p35a0514@aect.dummy.in"/>
  </r>
  <r>
    <x v="646"/>
    <n v="0"/>
    <n v="0"/>
    <n v="0"/>
    <n v="0"/>
    <n v="0"/>
    <n v="0"/>
    <n v="0"/>
    <x v="0"/>
    <n v="0"/>
    <n v="5000001"/>
    <n v="0"/>
    <n v="0"/>
    <n v="0"/>
    <s v="24p35a0518@aect.dummy.in"/>
  </r>
  <r>
    <x v="647"/>
    <n v="0"/>
    <n v="0"/>
    <n v="0"/>
    <n v="3"/>
    <n v="0"/>
    <n v="1"/>
    <n v="0"/>
    <x v="0"/>
    <n v="15"/>
    <n v="3776132"/>
    <n v="1"/>
    <n v="1"/>
    <n v="679"/>
    <s v="24p35a0519@aect.dummy.in"/>
  </r>
  <r>
    <x v="648"/>
    <n v="0"/>
    <n v="0"/>
    <n v="0"/>
    <n v="0"/>
    <n v="0"/>
    <n v="0"/>
    <n v="0"/>
    <x v="0"/>
    <n v="0"/>
    <n v="5000001"/>
    <n v="0"/>
    <n v="0"/>
    <n v="0"/>
    <s v="24p35a0520@aect.dummy.in"/>
  </r>
  <r>
    <x v="649"/>
    <n v="0"/>
    <n v="0"/>
    <n v="0"/>
    <n v="0"/>
    <n v="0"/>
    <n v="0"/>
    <n v="0"/>
    <x v="0"/>
    <n v="0"/>
    <n v="5000001"/>
    <n v="0"/>
    <n v="0"/>
    <n v="0"/>
    <s v="24p35a0521@aect.dummy.in"/>
  </r>
  <r>
    <x v="650"/>
    <n v="0"/>
    <n v="0"/>
    <n v="3"/>
    <n v="2"/>
    <n v="0"/>
    <n v="2"/>
    <n v="0"/>
    <x v="0"/>
    <n v="6"/>
    <n v="5000001"/>
    <n v="3"/>
    <n v="5"/>
    <n v="28"/>
    <s v="24p35a0530@aect.dummy.in"/>
  </r>
  <r>
    <x v="651"/>
    <n v="0"/>
    <n v="0"/>
    <n v="0"/>
    <n v="0"/>
    <n v="0"/>
    <n v="0"/>
    <n v="1"/>
    <x v="26"/>
    <n v="0"/>
    <n v="5000001"/>
    <n v="1"/>
    <n v="2"/>
    <n v="175"/>
    <s v="24p35a0531@aect.dummy.in"/>
  </r>
  <r>
    <x v="652"/>
    <n v="3"/>
    <n v="0"/>
    <n v="0"/>
    <n v="0"/>
    <n v="0"/>
    <n v="1"/>
    <n v="0"/>
    <x v="0"/>
    <n v="0"/>
    <n v="5000001"/>
    <n v="0"/>
    <n v="0"/>
    <n v="0"/>
    <s v="24p35a0535@aect.dummy.in"/>
  </r>
  <r>
    <x v="653"/>
    <n v="0"/>
    <n v="0"/>
    <n v="0"/>
    <n v="5"/>
    <n v="0"/>
    <n v="1"/>
    <n v="0"/>
    <x v="0"/>
    <n v="0"/>
    <n v="5000001"/>
    <n v="0"/>
    <n v="0"/>
    <n v="0"/>
    <s v="24p35a0539@aect.dummy.in"/>
  </r>
  <r>
    <x v="654"/>
    <n v="0"/>
    <n v="0"/>
    <n v="0"/>
    <n v="3"/>
    <n v="0"/>
    <n v="1"/>
    <n v="0"/>
    <x v="0"/>
    <n v="14"/>
    <n v="3909665"/>
    <n v="0"/>
    <n v="0"/>
    <n v="60"/>
    <s v="24p35a0541@aect.dummy.in"/>
  </r>
  <r>
    <x v="655"/>
    <n v="0"/>
    <n v="0"/>
    <n v="0"/>
    <n v="0"/>
    <n v="4"/>
    <n v="1"/>
    <n v="1"/>
    <x v="4"/>
    <n v="32"/>
    <n v="2589137"/>
    <n v="0"/>
    <n v="0"/>
    <n v="45"/>
    <s v="24p35a0545@aect.dummy.in"/>
  </r>
  <r>
    <x v="656"/>
    <n v="0"/>
    <n v="0"/>
    <n v="0"/>
    <n v="0"/>
    <n v="0"/>
    <n v="0"/>
    <n v="0"/>
    <x v="0"/>
    <n v="0"/>
    <n v="5000001"/>
    <n v="0"/>
    <n v="0"/>
    <n v="0"/>
    <s v="24p35a0549@aect.dummy.in"/>
  </r>
  <r>
    <x v="657"/>
    <n v="0"/>
    <n v="0"/>
    <n v="0"/>
    <n v="0"/>
    <n v="0"/>
    <n v="0"/>
    <n v="0"/>
    <x v="0"/>
    <n v="0"/>
    <n v="5000001"/>
    <n v="0"/>
    <n v="0"/>
    <n v="0"/>
    <s v="24p35a0550@aect.dummy.in"/>
  </r>
  <r>
    <x v="658"/>
    <n v="4"/>
    <n v="0"/>
    <n v="0"/>
    <n v="5"/>
    <n v="3"/>
    <n v="3"/>
    <n v="4"/>
    <x v="54"/>
    <n v="29"/>
    <n v="2728003"/>
    <n v="2"/>
    <n v="6"/>
    <n v="233"/>
    <s v="24p35a0553@aect.dummy.in"/>
  </r>
  <r>
    <x v="659"/>
    <n v="0"/>
    <n v="0"/>
    <n v="0"/>
    <n v="0"/>
    <n v="0"/>
    <n v="0"/>
    <n v="0"/>
    <x v="0"/>
    <n v="0"/>
    <n v="5000001"/>
    <n v="0"/>
    <n v="0"/>
    <n v="29"/>
    <s v="24p35a0555@aect.dummy.in"/>
  </r>
  <r>
    <x v="660"/>
    <n v="0"/>
    <n v="0"/>
    <n v="1"/>
    <n v="0"/>
    <n v="1"/>
    <n v="2"/>
    <n v="0"/>
    <x v="0"/>
    <n v="8"/>
    <n v="4867821"/>
    <n v="5"/>
    <n v="9"/>
    <n v="94"/>
    <s v="24p35a0557@aect.dummy.in"/>
  </r>
  <r>
    <x v="661"/>
    <n v="0"/>
    <n v="0"/>
    <n v="0"/>
    <n v="1"/>
    <n v="0"/>
    <n v="1"/>
    <n v="0"/>
    <x v="0"/>
    <n v="0"/>
    <n v="5000001"/>
    <n v="0"/>
    <n v="0"/>
    <n v="0"/>
    <s v="24p35a1204@aect.dummy.in"/>
  </r>
  <r>
    <x v="662"/>
    <n v="2"/>
    <n v="0"/>
    <n v="0"/>
    <n v="0"/>
    <n v="0"/>
    <n v="1"/>
    <n v="0"/>
    <x v="0"/>
    <n v="0"/>
    <n v="5000001"/>
    <n v="0"/>
    <n v="0"/>
    <n v="29"/>
    <s v="24p35a4203@aect.dummy.in"/>
  </r>
  <r>
    <x v="663"/>
    <n v="0"/>
    <n v="0"/>
    <n v="0"/>
    <n v="0"/>
    <n v="0"/>
    <n v="0"/>
    <n v="0"/>
    <x v="0"/>
    <n v="12"/>
    <n v="4178493"/>
    <n v="0"/>
    <n v="0"/>
    <n v="0"/>
    <s v="24p35a4213@aect.dummy.in"/>
  </r>
  <r>
    <x v="664"/>
    <n v="0"/>
    <n v="0"/>
    <n v="0"/>
    <n v="2"/>
    <n v="0"/>
    <n v="1"/>
    <n v="1"/>
    <x v="26"/>
    <n v="0"/>
    <n v="5000001"/>
    <n v="0"/>
    <n v="0"/>
    <n v="74"/>
    <s v="24p35a4216@aect.dummy.in"/>
  </r>
  <r>
    <x v="665"/>
    <n v="0"/>
    <n v="0"/>
    <n v="0"/>
    <n v="0"/>
    <n v="5"/>
    <n v="2"/>
    <n v="4"/>
    <x v="55"/>
    <n v="25"/>
    <n v="2954078"/>
    <n v="0"/>
    <n v="0"/>
    <n v="151"/>
    <s v="24p35a4225@aect.dummy.in"/>
  </r>
  <r>
    <x v="666"/>
    <n v="0"/>
    <n v="0"/>
    <n v="0"/>
    <n v="1"/>
    <n v="0"/>
    <n v="1"/>
    <n v="0"/>
    <x v="0"/>
    <n v="0"/>
    <n v="5000001"/>
    <n v="0"/>
    <n v="0"/>
    <n v="33"/>
    <s v="24p35a4227@aect.dummy.in"/>
  </r>
  <r>
    <x v="667"/>
    <n v="0"/>
    <n v="0"/>
    <n v="0"/>
    <n v="2"/>
    <n v="0"/>
    <n v="1"/>
    <n v="0"/>
    <x v="0"/>
    <n v="0"/>
    <n v="0"/>
    <n v="0"/>
    <n v="0"/>
    <n v="99"/>
    <s v="24p35a4230@aect.dummy.in"/>
  </r>
  <r>
    <x v="668"/>
    <n v="0"/>
    <n v="0"/>
    <n v="0"/>
    <n v="0"/>
    <n v="0"/>
    <n v="0"/>
    <n v="0"/>
    <x v="0"/>
    <n v="3"/>
    <n v="5000001"/>
    <n v="0"/>
    <n v="0"/>
    <n v="1"/>
    <s v="24p35a4232@aect.dummy.in"/>
  </r>
  <r>
    <x v="669"/>
    <n v="0"/>
    <n v="0"/>
    <n v="0"/>
    <n v="0"/>
    <n v="0"/>
    <n v="0"/>
    <n v="0"/>
    <x v="0"/>
    <n v="0"/>
    <n v="5000001"/>
    <n v="0"/>
    <n v="0"/>
    <n v="18"/>
    <s v="24p35a4233@aect.dummy.in"/>
  </r>
  <r>
    <x v="670"/>
    <n v="3"/>
    <n v="0"/>
    <n v="5"/>
    <n v="2"/>
    <n v="0"/>
    <n v="3"/>
    <n v="1"/>
    <x v="30"/>
    <n v="1"/>
    <n v="5000001"/>
    <n v="0"/>
    <n v="0"/>
    <n v="0"/>
    <s v="24p35a4237@aect.dummy.in"/>
  </r>
  <r>
    <x v="671"/>
    <n v="0"/>
    <n v="0"/>
    <n v="0"/>
    <n v="0"/>
    <n v="0"/>
    <n v="0"/>
    <n v="0"/>
    <x v="0"/>
    <n v="0"/>
    <n v="5000001"/>
    <n v="0"/>
    <n v="0"/>
    <n v="0"/>
    <s v="24p35a4906@aect.dummy.in"/>
  </r>
  <r>
    <x v="672"/>
    <m/>
    <m/>
    <m/>
    <m/>
    <m/>
    <m/>
    <m/>
    <x v="56"/>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2">
  <r>
    <x v="0"/>
    <x v="0"/>
    <x v="0"/>
    <n v="5"/>
    <n v="0"/>
    <n v="0"/>
    <n v="0"/>
    <n v="0"/>
    <n v="1"/>
    <n v="0"/>
    <s v="Null"/>
    <n v="0"/>
    <n v="5000001"/>
    <n v="0"/>
    <n v="0"/>
    <n v="291"/>
    <s v="23a91a0401@aect.dummy.in"/>
  </r>
  <r>
    <x v="1"/>
    <x v="0"/>
    <x v="0"/>
    <n v="0"/>
    <n v="0"/>
    <n v="0"/>
    <n v="0"/>
    <n v="0"/>
    <n v="0"/>
    <n v="0"/>
    <s v="Null"/>
    <n v="0"/>
    <n v="5000001"/>
    <n v="0"/>
    <n v="0"/>
    <n v="0"/>
    <s v="23a91a0408@aect.dummy.in"/>
  </r>
  <r>
    <x v="2"/>
    <x v="0"/>
    <x v="0"/>
    <n v="5"/>
    <n v="0"/>
    <n v="0"/>
    <n v="1"/>
    <n v="0"/>
    <n v="2"/>
    <n v="0"/>
    <s v="Null"/>
    <n v="49"/>
    <n v="2010823"/>
    <n v="3"/>
    <n v="4"/>
    <n v="176"/>
    <s v="23a91a0416@aect.dummy.in"/>
  </r>
  <r>
    <x v="3"/>
    <x v="0"/>
    <x v="0"/>
    <n v="4"/>
    <n v="0"/>
    <n v="0"/>
    <n v="0"/>
    <n v="0"/>
    <n v="1"/>
    <n v="0"/>
    <s v="Null"/>
    <n v="6"/>
    <n v="5000001"/>
    <n v="0"/>
    <n v="0"/>
    <n v="254"/>
    <s v="23a91a0417@aect.dummy.in"/>
  </r>
  <r>
    <x v="4"/>
    <x v="0"/>
    <x v="0"/>
    <n v="5"/>
    <n v="0"/>
    <n v="0"/>
    <n v="0"/>
    <n v="0"/>
    <n v="1"/>
    <n v="0"/>
    <s v="Null"/>
    <n v="0"/>
    <n v="5000001"/>
    <n v="0"/>
    <n v="0"/>
    <n v="18"/>
    <s v="23a91a0423@aect.dummy.in"/>
  </r>
  <r>
    <x v="5"/>
    <x v="0"/>
    <x v="0"/>
    <n v="5"/>
    <n v="0"/>
    <n v="0"/>
    <n v="0"/>
    <n v="0"/>
    <n v="1"/>
    <n v="0"/>
    <s v="Null"/>
    <n v="0"/>
    <n v="5000001"/>
    <n v="0"/>
    <n v="0"/>
    <n v="0"/>
    <s v="23a91a0424@aect.dummy.in"/>
  </r>
  <r>
    <x v="6"/>
    <x v="0"/>
    <x v="0"/>
    <n v="5"/>
    <n v="0"/>
    <n v="0"/>
    <n v="0"/>
    <n v="0"/>
    <n v="1"/>
    <n v="0"/>
    <s v="Null"/>
    <n v="0"/>
    <n v="5000001"/>
    <n v="0"/>
    <n v="0"/>
    <n v="0"/>
    <s v="23a91a0426@aect.dummy.in"/>
  </r>
  <r>
    <x v="7"/>
    <x v="0"/>
    <x v="0"/>
    <n v="4"/>
    <n v="0"/>
    <n v="0"/>
    <n v="0"/>
    <n v="0"/>
    <n v="1"/>
    <n v="0"/>
    <s v="Null"/>
    <n v="0"/>
    <n v="5000001"/>
    <n v="0"/>
    <n v="0"/>
    <n v="14"/>
    <s v="23a91a0429@aect.dummy.in"/>
  </r>
  <r>
    <x v="8"/>
    <x v="0"/>
    <x v="0"/>
    <n v="0"/>
    <n v="0"/>
    <n v="0"/>
    <n v="0"/>
    <n v="0"/>
    <n v="0"/>
    <n v="0"/>
    <s v="Null"/>
    <n v="0"/>
    <n v="5000001"/>
    <n v="0"/>
    <n v="0"/>
    <n v="188"/>
    <s v="23a91a0431@aect.dummy.in"/>
  </r>
  <r>
    <x v="9"/>
    <x v="0"/>
    <x v="0"/>
    <n v="5"/>
    <n v="0"/>
    <n v="0"/>
    <n v="0"/>
    <n v="0"/>
    <n v="1"/>
    <n v="0"/>
    <s v="Null"/>
    <n v="198"/>
    <n v="619067"/>
    <n v="135"/>
    <n v="306"/>
    <n v="515"/>
    <s v="23a91a0436@aect.dummy.in"/>
  </r>
  <r>
    <x v="10"/>
    <x v="0"/>
    <x v="0"/>
    <n v="4"/>
    <n v="0"/>
    <n v="0"/>
    <n v="0"/>
    <n v="0"/>
    <n v="1"/>
    <n v="0"/>
    <s v="Null"/>
    <n v="0"/>
    <n v="5000001"/>
    <n v="0"/>
    <n v="0"/>
    <n v="38"/>
    <s v="23a91a0452@aect.dummy.in"/>
  </r>
  <r>
    <x v="11"/>
    <x v="0"/>
    <x v="0"/>
    <n v="5"/>
    <n v="0"/>
    <n v="0"/>
    <n v="0"/>
    <n v="0"/>
    <n v="1"/>
    <n v="0"/>
    <s v="Null"/>
    <n v="0"/>
    <n v="5000001"/>
    <n v="0"/>
    <n v="0"/>
    <n v="0"/>
    <s v="23a91a0457@aect.dummy.in"/>
  </r>
  <r>
    <x v="12"/>
    <x v="0"/>
    <x v="0"/>
    <n v="5"/>
    <n v="0"/>
    <n v="0"/>
    <n v="2"/>
    <n v="0"/>
    <n v="2"/>
    <n v="0"/>
    <s v="Null"/>
    <n v="1"/>
    <n v="5000001"/>
    <n v="0"/>
    <n v="0"/>
    <n v="144"/>
    <s v="23a91a0459@aect.dummy.in"/>
  </r>
  <r>
    <x v="13"/>
    <x v="0"/>
    <x v="0"/>
    <n v="5"/>
    <n v="0"/>
    <n v="0"/>
    <n v="0"/>
    <n v="0"/>
    <n v="1"/>
    <n v="0"/>
    <s v="Null"/>
    <n v="0"/>
    <n v="5000001"/>
    <n v="0"/>
    <n v="0"/>
    <n v="26"/>
    <s v="23a91a0460@aect.dummy.in"/>
  </r>
  <r>
    <x v="14"/>
    <x v="0"/>
    <x v="0"/>
    <n v="5"/>
    <n v="0"/>
    <n v="0"/>
    <n v="0"/>
    <n v="0"/>
    <n v="1"/>
    <n v="0"/>
    <s v="Null"/>
    <n v="0"/>
    <n v="5000001"/>
    <n v="0"/>
    <n v="0"/>
    <n v="0"/>
    <s v="23a91a0461@aect.dummy.in"/>
  </r>
  <r>
    <x v="15"/>
    <x v="0"/>
    <x v="1"/>
    <n v="5"/>
    <n v="0"/>
    <n v="0"/>
    <n v="0"/>
    <n v="0"/>
    <n v="1"/>
    <n v="0"/>
    <s v="Null"/>
    <n v="0"/>
    <n v="5000001"/>
    <n v="0"/>
    <n v="0"/>
    <n v="0"/>
    <s v="23a91a0462@aect.dummy.in"/>
  </r>
  <r>
    <x v="16"/>
    <x v="0"/>
    <x v="1"/>
    <n v="5"/>
    <n v="0"/>
    <n v="0"/>
    <n v="0"/>
    <n v="0"/>
    <n v="1"/>
    <n v="0"/>
    <s v="Null"/>
    <n v="3"/>
    <n v="5000001"/>
    <n v="0"/>
    <n v="0"/>
    <n v="75"/>
    <s v="23a91a0465@aect.dummy.in"/>
  </r>
  <r>
    <x v="17"/>
    <x v="0"/>
    <x v="1"/>
    <n v="5"/>
    <n v="0"/>
    <n v="0"/>
    <n v="0"/>
    <n v="0"/>
    <n v="1"/>
    <n v="0"/>
    <s v="Null"/>
    <n v="1"/>
    <n v="5000001"/>
    <n v="1"/>
    <n v="0"/>
    <n v="2"/>
    <s v="23a91a0470@aect.dummy.in"/>
  </r>
  <r>
    <x v="18"/>
    <x v="0"/>
    <x v="1"/>
    <n v="0"/>
    <n v="0"/>
    <n v="0"/>
    <n v="0"/>
    <n v="0"/>
    <n v="0"/>
    <n v="0"/>
    <s v="Null"/>
    <n v="0"/>
    <n v="5000001"/>
    <n v="0"/>
    <n v="0"/>
    <n v="78"/>
    <s v="23a91a0471@aect.dummy.in"/>
  </r>
  <r>
    <x v="19"/>
    <x v="0"/>
    <x v="1"/>
    <n v="4"/>
    <n v="0"/>
    <n v="0"/>
    <n v="2"/>
    <n v="0"/>
    <n v="2"/>
    <n v="0"/>
    <s v="Null"/>
    <n v="2"/>
    <n v="5000001"/>
    <n v="10"/>
    <n v="17"/>
    <n v="682"/>
    <s v="23a91a0476@aect.dummy.in"/>
  </r>
  <r>
    <x v="20"/>
    <x v="0"/>
    <x v="1"/>
    <n v="0"/>
    <n v="0"/>
    <n v="0"/>
    <n v="0"/>
    <n v="0"/>
    <n v="0"/>
    <n v="0"/>
    <s v="Null"/>
    <n v="0"/>
    <n v="5000001"/>
    <n v="0"/>
    <n v="0"/>
    <n v="173"/>
    <s v="23a91a0483@aect.dummy.in"/>
  </r>
  <r>
    <x v="21"/>
    <x v="0"/>
    <x v="1"/>
    <n v="0"/>
    <n v="0"/>
    <n v="0"/>
    <n v="3"/>
    <n v="1"/>
    <n v="2"/>
    <n v="0"/>
    <s v="Null"/>
    <n v="24"/>
    <n v="3007218"/>
    <n v="13"/>
    <n v="20"/>
    <n v="929"/>
    <s v="23a91a0485@aect.dummy.in"/>
  </r>
  <r>
    <x v="22"/>
    <x v="0"/>
    <x v="1"/>
    <n v="5"/>
    <n v="0"/>
    <n v="0"/>
    <n v="2"/>
    <n v="0"/>
    <n v="2"/>
    <n v="0"/>
    <s v="Null"/>
    <n v="0"/>
    <n v="5000001"/>
    <n v="0"/>
    <n v="0"/>
    <n v="55"/>
    <s v="23a91a0486@aect.dummy.in"/>
  </r>
  <r>
    <x v="23"/>
    <x v="0"/>
    <x v="1"/>
    <n v="5"/>
    <n v="0"/>
    <n v="0"/>
    <n v="1"/>
    <n v="0"/>
    <n v="2"/>
    <n v="0"/>
    <s v="Null"/>
    <n v="0"/>
    <n v="5000001"/>
    <n v="17"/>
    <n v="28"/>
    <n v="34"/>
    <s v="23a91a0489@aect.dummy.in"/>
  </r>
  <r>
    <x v="24"/>
    <x v="0"/>
    <x v="1"/>
    <n v="5"/>
    <n v="0"/>
    <n v="0"/>
    <n v="0"/>
    <n v="0"/>
    <n v="1"/>
    <n v="0"/>
    <s v="Null"/>
    <n v="0"/>
    <n v="5000001"/>
    <n v="0"/>
    <n v="0"/>
    <n v="121"/>
    <s v="23a91a0492@aect.dummy.in"/>
  </r>
  <r>
    <x v="25"/>
    <x v="0"/>
    <x v="1"/>
    <n v="5"/>
    <n v="0"/>
    <n v="0"/>
    <n v="0"/>
    <n v="0"/>
    <n v="1"/>
    <n v="0"/>
    <s v="Null"/>
    <n v="0"/>
    <n v="5000001"/>
    <n v="0"/>
    <n v="0"/>
    <n v="0"/>
    <s v="23a91a04a0@aect.dummy.in"/>
  </r>
  <r>
    <x v="26"/>
    <x v="0"/>
    <x v="1"/>
    <n v="4"/>
    <n v="0"/>
    <n v="0"/>
    <n v="1"/>
    <n v="0"/>
    <n v="2"/>
    <n v="0"/>
    <s v="Null"/>
    <n v="1"/>
    <n v="5000001"/>
    <n v="15"/>
    <n v="15"/>
    <n v="662"/>
    <s v="23a91a04a3@aect.dummy.in"/>
  </r>
  <r>
    <x v="27"/>
    <x v="0"/>
    <x v="1"/>
    <n v="5"/>
    <n v="0"/>
    <n v="0"/>
    <n v="0"/>
    <n v="0"/>
    <n v="1"/>
    <n v="0"/>
    <s v="Null"/>
    <n v="0"/>
    <n v="5000001"/>
    <n v="0"/>
    <n v="0"/>
    <n v="0"/>
    <s v="23a91a04d6@aect.dummy.in"/>
  </r>
  <r>
    <x v="28"/>
    <x v="0"/>
    <x v="1"/>
    <n v="5"/>
    <n v="0"/>
    <n v="0"/>
    <n v="0"/>
    <n v="0"/>
    <n v="1"/>
    <n v="0"/>
    <s v="Null"/>
    <n v="0"/>
    <n v="5000001"/>
    <n v="0"/>
    <n v="0"/>
    <n v="0"/>
    <s v="23a91a04d7@aect.dummy.in"/>
  </r>
  <r>
    <x v="29"/>
    <x v="0"/>
    <x v="1"/>
    <n v="5"/>
    <n v="0"/>
    <n v="0"/>
    <n v="0"/>
    <n v="0"/>
    <n v="1"/>
    <n v="0"/>
    <s v="Null"/>
    <n v="0"/>
    <n v="5000001"/>
    <n v="0"/>
    <n v="0"/>
    <n v="0"/>
    <s v="23a91a04f0@aect.dummy.in"/>
  </r>
  <r>
    <x v="30"/>
    <x v="0"/>
    <x v="1"/>
    <n v="5"/>
    <n v="0"/>
    <n v="0"/>
    <n v="3"/>
    <n v="0"/>
    <n v="2"/>
    <n v="0"/>
    <s v="Null"/>
    <n v="11"/>
    <n v="4666138"/>
    <n v="4"/>
    <n v="7"/>
    <n v="254"/>
    <s v="23a91a04g1@aect.dummy.in"/>
  </r>
  <r>
    <x v="31"/>
    <x v="0"/>
    <x v="1"/>
    <n v="5"/>
    <n v="0"/>
    <n v="0"/>
    <n v="0"/>
    <n v="0"/>
    <n v="1"/>
    <n v="0"/>
    <s v="Null"/>
    <n v="11"/>
    <n v="4325798"/>
    <n v="1"/>
    <n v="2"/>
    <n v="262"/>
    <s v="23a91a04h2@aect.dummy.in"/>
  </r>
  <r>
    <x v="32"/>
    <x v="0"/>
    <x v="1"/>
    <n v="0"/>
    <n v="0"/>
    <n v="0"/>
    <n v="0"/>
    <n v="0"/>
    <n v="0"/>
    <n v="0"/>
    <s v="Null"/>
    <n v="0"/>
    <n v="5000001"/>
    <n v="0"/>
    <n v="0"/>
    <n v="0"/>
    <s v="23a91a04i1@aect.dummy.in"/>
  </r>
  <r>
    <x v="33"/>
    <x v="0"/>
    <x v="1"/>
    <n v="5"/>
    <n v="0"/>
    <n v="0"/>
    <n v="0"/>
    <n v="0"/>
    <n v="1"/>
    <n v="0"/>
    <s v="Null"/>
    <n v="0"/>
    <n v="5000001"/>
    <n v="0"/>
    <n v="0"/>
    <n v="0"/>
    <s v="23a91a04i6@aect.dummy.in"/>
  </r>
  <r>
    <x v="34"/>
    <x v="0"/>
    <x v="1"/>
    <n v="5"/>
    <n v="0"/>
    <n v="0"/>
    <n v="0"/>
    <n v="0"/>
    <n v="1"/>
    <n v="0"/>
    <s v="Null"/>
    <n v="0"/>
    <n v="5000001"/>
    <n v="0"/>
    <n v="0"/>
    <n v="0"/>
    <s v="23a91a04j9@aect.dummy.in"/>
  </r>
  <r>
    <x v="35"/>
    <x v="0"/>
    <x v="1"/>
    <n v="5"/>
    <n v="0"/>
    <n v="0"/>
    <n v="3"/>
    <n v="0"/>
    <n v="2"/>
    <n v="0"/>
    <s v="Null"/>
    <n v="24"/>
    <n v="3010862"/>
    <n v="0"/>
    <n v="0"/>
    <n v="61"/>
    <s v="23a91a04m1@aect.dummy.in"/>
  </r>
  <r>
    <x v="36"/>
    <x v="0"/>
    <x v="1"/>
    <n v="5"/>
    <n v="0"/>
    <n v="2"/>
    <n v="2"/>
    <n v="0"/>
    <n v="3"/>
    <n v="0"/>
    <s v="Null"/>
    <n v="7"/>
    <n v="5000001"/>
    <n v="0"/>
    <n v="0"/>
    <n v="60"/>
    <s v="23a91a04n3@aect.dummy.in"/>
  </r>
  <r>
    <x v="37"/>
    <x v="0"/>
    <x v="1"/>
    <n v="5"/>
    <n v="0"/>
    <n v="0"/>
    <n v="0"/>
    <n v="0"/>
    <n v="1"/>
    <n v="0"/>
    <s v="Null"/>
    <n v="0"/>
    <n v="5000001"/>
    <n v="0"/>
    <n v="0"/>
    <n v="0"/>
    <s v="23a91a04o3@aect.dummy.in"/>
  </r>
  <r>
    <x v="38"/>
    <x v="0"/>
    <x v="1"/>
    <n v="0"/>
    <n v="0"/>
    <n v="0"/>
    <n v="0"/>
    <n v="0"/>
    <n v="0"/>
    <n v="0"/>
    <s v="Null"/>
    <n v="0"/>
    <n v="5000001"/>
    <n v="0"/>
    <n v="0"/>
    <n v="0"/>
    <s v="23a91a04p5@aect.dummy.in"/>
  </r>
  <r>
    <x v="39"/>
    <x v="0"/>
    <x v="1"/>
    <n v="4"/>
    <n v="0"/>
    <n v="0"/>
    <n v="5"/>
    <n v="1"/>
    <n v="4"/>
    <n v="3"/>
    <s v="SQL (Basic),Java (Basic),SQL (Intermediate)"/>
    <n v="169"/>
    <n v="736091"/>
    <n v="53"/>
    <n v="91"/>
    <n v="93"/>
    <s v="23a91a0501@aect.dummy.in"/>
  </r>
  <r>
    <x v="40"/>
    <x v="0"/>
    <x v="1"/>
    <n v="3"/>
    <n v="3"/>
    <n v="1"/>
    <n v="1"/>
    <n v="3"/>
    <n v="6"/>
    <n v="2"/>
    <s v="SQL (Basic),SQL (Intermediate)"/>
    <n v="304"/>
    <n v="351689"/>
    <n v="179"/>
    <n v="441"/>
    <n v="0"/>
    <s v="23a91a0502@aect.dummy.in"/>
  </r>
  <r>
    <x v="41"/>
    <x v="0"/>
    <x v="1"/>
    <n v="5"/>
    <n v="0"/>
    <n v="0"/>
    <n v="2"/>
    <n v="4"/>
    <n v="4"/>
    <n v="2"/>
    <s v="SQL (Intermediate),SQL (Basic)"/>
    <n v="45"/>
    <n v="2122860"/>
    <n v="6"/>
    <n v="12"/>
    <n v="173"/>
    <s v="23a91a0504@aect.dummy.in"/>
  </r>
  <r>
    <x v="42"/>
    <x v="0"/>
    <x v="1"/>
    <n v="5"/>
    <n v="0"/>
    <n v="4"/>
    <n v="4"/>
    <n v="3"/>
    <n v="5"/>
    <n v="1"/>
    <s v="SQL (Basic)"/>
    <n v="7"/>
    <n v="5000001"/>
    <n v="34"/>
    <n v="51"/>
    <n v="169"/>
    <s v="23a91a0506@aect.dummy.in"/>
  </r>
  <r>
    <x v="43"/>
    <x v="0"/>
    <x v="1"/>
    <n v="3"/>
    <n v="2"/>
    <n v="4"/>
    <n v="4"/>
    <n v="4"/>
    <n v="6"/>
    <n v="1"/>
    <s v="SQL (Basic)"/>
    <n v="373"/>
    <n v="253991"/>
    <n v="173"/>
    <n v="423"/>
    <n v="204"/>
    <s v="23a91a0507@aect.dummy.in"/>
  </r>
  <r>
    <x v="44"/>
    <x v="0"/>
    <x v="1"/>
    <n v="5"/>
    <n v="0"/>
    <n v="4"/>
    <n v="4"/>
    <n v="5"/>
    <n v="5"/>
    <n v="1"/>
    <s v="SQL (Basic)"/>
    <n v="83"/>
    <n v="1391806"/>
    <n v="3"/>
    <n v="5"/>
    <n v="355"/>
    <s v="23a91a0509@aect.dummy.in"/>
  </r>
  <r>
    <x v="45"/>
    <x v="0"/>
    <x v="1"/>
    <n v="4"/>
    <n v="0"/>
    <n v="2"/>
    <n v="3"/>
    <n v="3"/>
    <n v="5"/>
    <n v="2"/>
    <s v="SQL (Basic),SQL (Intermediate)"/>
    <n v="153"/>
    <n v="816883"/>
    <n v="48"/>
    <n v="84"/>
    <n v="236"/>
    <s v="23a91a0510@aect.dummy.in"/>
  </r>
  <r>
    <x v="46"/>
    <x v="0"/>
    <x v="1"/>
    <n v="5"/>
    <n v="0"/>
    <n v="0"/>
    <n v="5"/>
    <n v="5"/>
    <n v="4"/>
    <n v="3"/>
    <s v="SQL (Basic),JavaScript (Basic),CSS (Basic)"/>
    <n v="0"/>
    <n v="5000001"/>
    <n v="0"/>
    <n v="0"/>
    <n v="0"/>
    <s v="23a91a0512@aect.dummy.in"/>
  </r>
  <r>
    <x v="47"/>
    <x v="0"/>
    <x v="1"/>
    <n v="2"/>
    <n v="4"/>
    <n v="0"/>
    <n v="0"/>
    <n v="4"/>
    <n v="4"/>
    <n v="2"/>
    <s v="SQL (Basic),SQL (Intermediate)"/>
    <n v="210"/>
    <n v="576223"/>
    <n v="56"/>
    <n v="67"/>
    <n v="75"/>
    <s v="23a91a0515@aect.dummy.in"/>
  </r>
  <r>
    <x v="48"/>
    <x v="0"/>
    <x v="1"/>
    <n v="4"/>
    <n v="0"/>
    <n v="3"/>
    <n v="0"/>
    <n v="4"/>
    <n v="4"/>
    <n v="2"/>
    <s v="SQL (Basic),SQL (Intermediate)"/>
    <n v="102"/>
    <n v="1186403"/>
    <n v="4"/>
    <n v="6"/>
    <n v="428"/>
    <s v="23a91a0517@aect.dummy.in"/>
  </r>
  <r>
    <x v="49"/>
    <x v="0"/>
    <x v="1"/>
    <n v="3"/>
    <n v="2"/>
    <n v="1"/>
    <n v="3"/>
    <n v="4"/>
    <n v="6"/>
    <n v="2"/>
    <s v="SQL (Basic),SQL (Intermediate)"/>
    <n v="158"/>
    <n v="789920"/>
    <n v="97"/>
    <n v="195"/>
    <n v="193"/>
    <s v="23a91a0519@aect.dummy.in"/>
  </r>
  <r>
    <x v="50"/>
    <x v="0"/>
    <x v="1"/>
    <n v="4"/>
    <n v="0"/>
    <n v="2"/>
    <n v="2"/>
    <n v="3"/>
    <n v="5"/>
    <n v="3"/>
    <s v="SQL (Basic),Python (Basic),SQL (Intermediate)"/>
    <n v="64"/>
    <n v="1678478"/>
    <n v="11"/>
    <n v="15"/>
    <n v="163"/>
    <s v="23a91a0522@aect.dummy.in"/>
  </r>
  <r>
    <x v="51"/>
    <x v="0"/>
    <x v="1"/>
    <n v="3"/>
    <n v="0"/>
    <n v="0"/>
    <n v="4"/>
    <n v="5"/>
    <n v="4"/>
    <n v="2"/>
    <s v="SQL (Basic),SQL (Intermediate)"/>
    <n v="99"/>
    <n v="1217917"/>
    <n v="2"/>
    <n v="3"/>
    <n v="117"/>
    <s v="23a91a0524@aect.dummy.in"/>
  </r>
  <r>
    <x v="52"/>
    <x v="0"/>
    <x v="1"/>
    <n v="4"/>
    <n v="3"/>
    <n v="2"/>
    <n v="3"/>
    <n v="5"/>
    <n v="6"/>
    <n v="2"/>
    <s v="SQL (Basic),SQL (Intermediate)"/>
    <n v="114"/>
    <n v="1078126"/>
    <n v="65"/>
    <n v="113"/>
    <n v="404"/>
    <s v="23a91a0525@aect.dummy.in"/>
  </r>
  <r>
    <x v="53"/>
    <x v="0"/>
    <x v="1"/>
    <n v="5"/>
    <n v="0"/>
    <n v="0"/>
    <n v="2"/>
    <n v="4"/>
    <n v="4"/>
    <n v="2"/>
    <s v="SQL (Basic),SQL (Intermediate)"/>
    <n v="81"/>
    <n v="1417140"/>
    <n v="0"/>
    <n v="0"/>
    <n v="18"/>
    <s v="23a91a0526@aect.dummy.in"/>
  </r>
  <r>
    <x v="54"/>
    <x v="0"/>
    <x v="1"/>
    <n v="4"/>
    <n v="4"/>
    <n v="1"/>
    <n v="3"/>
    <n v="4"/>
    <n v="6"/>
    <n v="2"/>
    <s v="SQL (Basic),SQL (Intermediate)"/>
    <n v="161"/>
    <n v="774594"/>
    <n v="0"/>
    <n v="0"/>
    <n v="48"/>
    <s v="23a91a0529@aect.dummy.in"/>
  </r>
  <r>
    <x v="55"/>
    <x v="0"/>
    <x v="1"/>
    <n v="5"/>
    <n v="0"/>
    <n v="0"/>
    <n v="5"/>
    <n v="0"/>
    <n v="3"/>
    <n v="3"/>
    <s v="SQL (Basic),CSS (Basic),JavaScript (Basic)"/>
    <n v="1"/>
    <n v="5000001"/>
    <n v="0"/>
    <n v="0"/>
    <n v="813"/>
    <s v="23a91a0532@aec.edu.in"/>
  </r>
  <r>
    <x v="56"/>
    <x v="0"/>
    <x v="1"/>
    <n v="3"/>
    <n v="1"/>
    <n v="1"/>
    <n v="1"/>
    <n v="4"/>
    <n v="6"/>
    <n v="2"/>
    <s v="SQL (Basic),SQL (Intermediate)"/>
    <n v="211"/>
    <n v="572846"/>
    <n v="86"/>
    <n v="153"/>
    <n v="82"/>
    <s v="23a91a0534@aect.dummy.in"/>
  </r>
  <r>
    <x v="57"/>
    <x v="0"/>
    <x v="1"/>
    <n v="4"/>
    <n v="0"/>
    <n v="2"/>
    <n v="2"/>
    <n v="5"/>
    <n v="5"/>
    <n v="1"/>
    <s v="SQL (Intermediate)"/>
    <n v="172"/>
    <n v="722402"/>
    <n v="4"/>
    <n v="8"/>
    <n v="299"/>
    <s v="23a91a0536@aect.dummy.in"/>
  </r>
  <r>
    <x v="58"/>
    <x v="0"/>
    <x v="1"/>
    <n v="4"/>
    <n v="0"/>
    <n v="2"/>
    <n v="3"/>
    <n v="4"/>
    <n v="5"/>
    <n v="0"/>
    <s v="Null"/>
    <n v="149"/>
    <n v="840702"/>
    <n v="15"/>
    <n v="31"/>
    <n v="207"/>
    <s v="23a91a0539@aect.dummy.in"/>
  </r>
  <r>
    <x v="59"/>
    <x v="0"/>
    <x v="1"/>
    <n v="3"/>
    <n v="0"/>
    <n v="0"/>
    <n v="0"/>
    <n v="3"/>
    <n v="2"/>
    <n v="2"/>
    <s v="SQL (Basic),SQL (Intermediate)"/>
    <n v="231"/>
    <n v="511734"/>
    <n v="38"/>
    <n v="96"/>
    <n v="73"/>
    <s v="23a91a0545@aect.dummy.in"/>
  </r>
  <r>
    <x v="60"/>
    <x v="0"/>
    <x v="1"/>
    <n v="5"/>
    <n v="0"/>
    <n v="5"/>
    <n v="5"/>
    <n v="5"/>
    <n v="5"/>
    <n v="1"/>
    <s v="SQL (Basic)"/>
    <n v="26"/>
    <n v="2881500"/>
    <n v="0"/>
    <n v="0"/>
    <n v="411"/>
    <s v="23a91a0546@aect.dummy.in"/>
  </r>
  <r>
    <x v="61"/>
    <x v="0"/>
    <x v="1"/>
    <n v="5"/>
    <n v="0"/>
    <n v="0"/>
    <n v="1"/>
    <n v="5"/>
    <n v="4"/>
    <n v="1"/>
    <s v="SQL (Basic)"/>
    <n v="0"/>
    <n v="5000001"/>
    <n v="26"/>
    <n v="100"/>
    <n v="43"/>
    <s v="23a91a0549@aect.dummy.in"/>
  </r>
  <r>
    <x v="62"/>
    <x v="0"/>
    <x v="1"/>
    <n v="3"/>
    <n v="2"/>
    <n v="0"/>
    <n v="2"/>
    <n v="2"/>
    <n v="5"/>
    <n v="1"/>
    <s v="SQL (Basic)"/>
    <n v="100"/>
    <n v="1207804"/>
    <n v="6"/>
    <n v="9"/>
    <n v="202"/>
    <s v="23a91a0554@aect.dummy.in"/>
  </r>
  <r>
    <x v="63"/>
    <x v="0"/>
    <x v="1"/>
    <n v="4"/>
    <n v="0"/>
    <n v="1"/>
    <n v="3"/>
    <n v="5"/>
    <n v="5"/>
    <n v="2"/>
    <s v="SQL (Basic),SQL (Intermediate)"/>
    <n v="181"/>
    <n v="683671"/>
    <n v="106"/>
    <n v="222"/>
    <n v="0"/>
    <s v="23a91a0556@aect.dummy.in"/>
  </r>
  <r>
    <x v="64"/>
    <x v="0"/>
    <x v="1"/>
    <n v="5"/>
    <n v="3"/>
    <n v="4"/>
    <n v="4"/>
    <n v="5"/>
    <n v="6"/>
    <n v="3"/>
    <s v="SQL (Intermediate),SQL (Basic),Python (Basic)"/>
    <n v="65"/>
    <n v="1660776"/>
    <n v="4"/>
    <n v="10"/>
    <n v="336"/>
    <s v="23a91a0559@aect.dummy.in"/>
  </r>
  <r>
    <x v="65"/>
    <x v="0"/>
    <x v="1"/>
    <n v="4"/>
    <n v="0"/>
    <n v="0"/>
    <n v="0"/>
    <n v="3"/>
    <n v="2"/>
    <n v="3"/>
    <s v="SQL (Basic),SQL (Intermediate),SQL (Advanced)"/>
    <n v="372"/>
    <n v="255203"/>
    <n v="15"/>
    <n v="35"/>
    <n v="164"/>
    <s v="23a91a0560@aect.dummy.in"/>
  </r>
  <r>
    <x v="66"/>
    <x v="0"/>
    <x v="1"/>
    <n v="3"/>
    <n v="4"/>
    <n v="3"/>
    <n v="4"/>
    <n v="5"/>
    <n v="5"/>
    <n v="2"/>
    <s v="SQL (Basic),SQL (Intermediate)"/>
    <n v="372"/>
    <n v="255172"/>
    <n v="8"/>
    <n v="21"/>
    <n v="336"/>
    <s v="23a91a0561@aect.dummy.in"/>
  </r>
  <r>
    <x v="67"/>
    <x v="0"/>
    <x v="1"/>
    <n v="4"/>
    <n v="5"/>
    <n v="0"/>
    <n v="4"/>
    <n v="5"/>
    <n v="5"/>
    <n v="4"/>
    <s v="SQL (Basic),Python (Basic),SQL (Intermediate),Java (Basic)"/>
    <n v="233"/>
    <n v="506237"/>
    <n v="155"/>
    <n v="360"/>
    <n v="268"/>
    <s v="23a91a0562@aect.dummy.in"/>
  </r>
  <r>
    <x v="68"/>
    <x v="0"/>
    <x v="1"/>
    <n v="5"/>
    <n v="0"/>
    <n v="5"/>
    <n v="5"/>
    <n v="5"/>
    <n v="5"/>
    <n v="1"/>
    <s v="SQL (Basic)"/>
    <n v="261"/>
    <n v="435881"/>
    <n v="129"/>
    <n v="348"/>
    <n v="406"/>
    <s v="23a91a0565@aect.dummy.in"/>
  </r>
  <r>
    <x v="69"/>
    <x v="0"/>
    <x v="1"/>
    <n v="3"/>
    <n v="0"/>
    <n v="0"/>
    <n v="0"/>
    <n v="5"/>
    <n v="2"/>
    <n v="2"/>
    <s v="SQL (Basic),Python (Basic)"/>
    <n v="11"/>
    <n v="4298173"/>
    <n v="0"/>
    <n v="0"/>
    <n v="66"/>
    <s v="23a91a0566@aect.dummy.in"/>
  </r>
  <r>
    <x v="70"/>
    <x v="0"/>
    <x v="1"/>
    <n v="5"/>
    <n v="0"/>
    <n v="1"/>
    <n v="5"/>
    <n v="0"/>
    <n v="4"/>
    <n v="4"/>
    <s v="CSS (Basic),C# (Basic),SQL (Basic),JavaScript (Basic)"/>
    <n v="28"/>
    <n v="2780649"/>
    <n v="5"/>
    <n v="9"/>
    <n v="0"/>
    <s v="23a91a0572@aect.dummy.in"/>
  </r>
  <r>
    <x v="71"/>
    <x v="0"/>
    <x v="1"/>
    <n v="4"/>
    <n v="4"/>
    <n v="4"/>
    <n v="4"/>
    <n v="5"/>
    <n v="6"/>
    <n v="1"/>
    <s v="SQL (Basic)"/>
    <n v="563"/>
    <n v="112533"/>
    <n v="313"/>
    <n v="938"/>
    <n v="155"/>
    <s v="23a91a0576@aect.dummy.in"/>
  </r>
  <r>
    <x v="72"/>
    <x v="0"/>
    <x v="1"/>
    <n v="5"/>
    <n v="0"/>
    <n v="0"/>
    <n v="2"/>
    <n v="4"/>
    <n v="4"/>
    <n v="2"/>
    <s v="SQL (Basic),SQL (Intermediate)"/>
    <n v="91"/>
    <n v="1298743"/>
    <n v="7"/>
    <n v="15"/>
    <n v="231"/>
    <s v="23a91a0577@aect.dummy.in"/>
  </r>
  <r>
    <x v="73"/>
    <x v="0"/>
    <x v="1"/>
    <n v="5"/>
    <n v="0"/>
    <n v="2"/>
    <n v="3"/>
    <n v="2"/>
    <n v="5"/>
    <n v="2"/>
    <s v="SQL (Basic),Python (Basic)"/>
    <n v="150"/>
    <n v="834669"/>
    <n v="52"/>
    <n v="77"/>
    <n v="353"/>
    <s v="23a91a0578@aect.dummy.in"/>
  </r>
  <r>
    <x v="74"/>
    <x v="0"/>
    <x v="1"/>
    <n v="5"/>
    <n v="0"/>
    <n v="3"/>
    <n v="5"/>
    <n v="5"/>
    <n v="5"/>
    <n v="0"/>
    <s v="Null"/>
    <n v="26"/>
    <n v="2891740"/>
    <n v="104"/>
    <n v="327"/>
    <n v="502"/>
    <s v="23a91a0579@aect.dummy.in"/>
  </r>
  <r>
    <x v="75"/>
    <x v="0"/>
    <x v="1"/>
    <n v="4"/>
    <n v="1"/>
    <n v="0"/>
    <n v="1"/>
    <n v="5"/>
    <n v="5"/>
    <n v="1"/>
    <s v="SQL (Basic)"/>
    <n v="336"/>
    <n v="301341"/>
    <n v="0"/>
    <n v="0"/>
    <n v="50"/>
    <s v="23a91a0581@aect.dummy.in"/>
  </r>
  <r>
    <x v="76"/>
    <x v="0"/>
    <x v="1"/>
    <n v="4"/>
    <n v="0"/>
    <n v="1"/>
    <n v="1"/>
    <n v="3"/>
    <n v="5"/>
    <n v="2"/>
    <s v="SQL (Basic),SQL (Intermediate)"/>
    <n v="252"/>
    <n v="456997"/>
    <n v="29"/>
    <n v="70"/>
    <n v="68"/>
    <s v="23a91a0582@aect.dummy.in"/>
  </r>
  <r>
    <x v="77"/>
    <x v="0"/>
    <x v="1"/>
    <n v="5"/>
    <n v="4"/>
    <n v="1"/>
    <n v="3"/>
    <n v="4"/>
    <n v="6"/>
    <n v="3"/>
    <s v="Java (Basic),SQL (Basic),SQL (Intermediate)"/>
    <n v="332"/>
    <n v="307116"/>
    <n v="210"/>
    <n v="404"/>
    <n v="1114"/>
    <s v="23a91a0585@aect.dummy.in"/>
  </r>
  <r>
    <x v="78"/>
    <x v="0"/>
    <x v="1"/>
    <n v="4"/>
    <n v="0"/>
    <n v="0"/>
    <n v="3"/>
    <n v="4"/>
    <n v="4"/>
    <n v="3"/>
    <s v="SQL (Basic),Problem Solving (Basic),SQL (Intermediate)"/>
    <n v="133"/>
    <n v="938128"/>
    <n v="65"/>
    <n v="137"/>
    <n v="319"/>
    <s v="23a91a0594@aect.dummy.in"/>
  </r>
  <r>
    <x v="79"/>
    <x v="0"/>
    <x v="1"/>
    <n v="5"/>
    <n v="0"/>
    <n v="3"/>
    <n v="2"/>
    <n v="5"/>
    <n v="5"/>
    <n v="3"/>
    <s v="Python (Basic),SQL (Basic),SQL (Intermediate)"/>
    <n v="288"/>
    <n v="383742"/>
    <n v="126"/>
    <n v="394"/>
    <n v="795"/>
    <s v="23a91a0595@aect.dummy.in"/>
  </r>
  <r>
    <x v="80"/>
    <x v="0"/>
    <x v="1"/>
    <n v="5"/>
    <n v="0"/>
    <n v="0"/>
    <n v="0"/>
    <n v="4"/>
    <n v="3"/>
    <n v="2"/>
    <s v="SQL (Basic),SQL (Intermediate)"/>
    <n v="149"/>
    <n v="846262"/>
    <n v="0"/>
    <n v="0"/>
    <n v="438"/>
    <s v="23a91a0598@aect.dummy.in"/>
  </r>
  <r>
    <x v="81"/>
    <x v="0"/>
    <x v="1"/>
    <n v="0"/>
    <n v="0"/>
    <n v="0"/>
    <n v="0"/>
    <n v="0"/>
    <n v="0"/>
    <n v="0"/>
    <s v="Null"/>
    <n v="31"/>
    <n v="2624758"/>
    <n v="1"/>
    <n v="2"/>
    <n v="322"/>
    <s v="23a91a05a5@aect.dummy.in"/>
  </r>
  <r>
    <x v="82"/>
    <x v="0"/>
    <x v="1"/>
    <n v="5"/>
    <n v="2"/>
    <n v="3"/>
    <n v="3"/>
    <n v="5"/>
    <n v="6"/>
    <n v="3"/>
    <s v="SQL (Basic),SQL (Intermediate),Python (Basic)"/>
    <n v="251"/>
    <n v="459517"/>
    <n v="171"/>
    <n v="430"/>
    <n v="684"/>
    <s v="23a91a05a7@aect.dummy.in"/>
  </r>
  <r>
    <x v="83"/>
    <x v="0"/>
    <x v="1"/>
    <n v="5"/>
    <n v="0"/>
    <n v="0"/>
    <n v="2"/>
    <n v="3"/>
    <n v="4"/>
    <n v="2"/>
    <s v="SQL (Basic),SQL (Intermediate)"/>
    <n v="16"/>
    <n v="3657810"/>
    <n v="0"/>
    <n v="0"/>
    <n v="8"/>
    <s v="23a91a05b1@aect.dummy.in"/>
  </r>
  <r>
    <x v="84"/>
    <x v="0"/>
    <x v="1"/>
    <n v="2"/>
    <n v="3"/>
    <n v="1"/>
    <n v="1"/>
    <n v="1"/>
    <n v="6"/>
    <n v="1"/>
    <s v="SQL (Basic)"/>
    <n v="85"/>
    <n v="1367222"/>
    <n v="5"/>
    <n v="11"/>
    <n v="56"/>
    <s v="23a91a05b2@aect.dummy.in"/>
  </r>
  <r>
    <x v="85"/>
    <x v="0"/>
    <x v="1"/>
    <n v="4"/>
    <n v="1"/>
    <n v="2"/>
    <n v="2"/>
    <n v="4"/>
    <n v="6"/>
    <n v="2"/>
    <s v="SQL (Basic),SQL (Intermediate)"/>
    <n v="107"/>
    <n v="1138564"/>
    <n v="54"/>
    <n v="91"/>
    <n v="369"/>
    <s v="23a91a05b6@aect.dummy.in"/>
  </r>
  <r>
    <x v="86"/>
    <x v="0"/>
    <x v="1"/>
    <n v="5"/>
    <n v="0"/>
    <n v="1"/>
    <n v="1"/>
    <n v="4"/>
    <n v="5"/>
    <n v="0"/>
    <s v="Null"/>
    <n v="193"/>
    <n v="636814"/>
    <n v="54"/>
    <n v="85"/>
    <n v="587"/>
    <s v="23a91a05c0@aect.dummy.in"/>
  </r>
  <r>
    <x v="87"/>
    <x v="0"/>
    <x v="1"/>
    <n v="4"/>
    <n v="0"/>
    <n v="0"/>
    <n v="3"/>
    <n v="4"/>
    <n v="4"/>
    <n v="3"/>
    <s v="SQL (Basic),Problem Solving (Basic),SQL (Intermediate)"/>
    <n v="144"/>
    <n v="869326"/>
    <n v="84"/>
    <n v="157"/>
    <n v="299"/>
    <s v="23a91a05c4@aect.dummy.in"/>
  </r>
  <r>
    <x v="88"/>
    <x v="0"/>
    <x v="1"/>
    <n v="4"/>
    <n v="3"/>
    <n v="1"/>
    <n v="2"/>
    <n v="4"/>
    <n v="6"/>
    <n v="4"/>
    <s v="Problem Solving (Basic),Java (Basic),SQL (Basic),SQL (Intermediate)"/>
    <n v="455"/>
    <n v="177288"/>
    <n v="340"/>
    <n v="686"/>
    <n v="317"/>
    <s v="23a91a05c5@aect.dummy.in"/>
  </r>
  <r>
    <x v="89"/>
    <x v="0"/>
    <x v="2"/>
    <n v="4"/>
    <n v="3"/>
    <n v="1"/>
    <n v="1"/>
    <n v="0"/>
    <n v="5"/>
    <n v="1"/>
    <s v="SQL (Basic)"/>
    <n v="66"/>
    <n v="1643001"/>
    <n v="69"/>
    <n v="165"/>
    <n v="669"/>
    <s v="23a91a05d6@aect.dummy.in"/>
  </r>
  <r>
    <x v="90"/>
    <x v="0"/>
    <x v="2"/>
    <n v="5"/>
    <n v="2"/>
    <n v="0"/>
    <n v="0"/>
    <n v="4"/>
    <n v="4"/>
    <n v="1"/>
    <s v="SQL (Basic)"/>
    <n v="20"/>
    <n v="3305800"/>
    <n v="0"/>
    <n v="0"/>
    <n v="218"/>
    <s v="23a91a05d7@aect.dummy.in"/>
  </r>
  <r>
    <x v="91"/>
    <x v="0"/>
    <x v="2"/>
    <n v="4"/>
    <n v="0"/>
    <n v="0"/>
    <n v="3"/>
    <n v="4"/>
    <n v="4"/>
    <n v="1"/>
    <s v="SQL (Basic)"/>
    <n v="252"/>
    <n v="456996"/>
    <n v="28"/>
    <n v="78"/>
    <n v="80"/>
    <s v="23a91a05e1@aect.dummy.in"/>
  </r>
  <r>
    <x v="92"/>
    <x v="0"/>
    <x v="2"/>
    <n v="5"/>
    <n v="0"/>
    <n v="1"/>
    <n v="1"/>
    <n v="1"/>
    <n v="5"/>
    <n v="1"/>
    <s v="SQL (Basic)"/>
    <n v="9"/>
    <n v="4648225"/>
    <n v="0"/>
    <n v="0"/>
    <n v="22"/>
    <s v="23a91a05e4@aect.dummy.in"/>
  </r>
  <r>
    <x v="93"/>
    <x v="0"/>
    <x v="2"/>
    <n v="4"/>
    <n v="4"/>
    <n v="3"/>
    <n v="3"/>
    <n v="4"/>
    <n v="6"/>
    <n v="2"/>
    <s v="SQL (Basic),SQL (Intermediate)"/>
    <n v="310"/>
    <n v="341426"/>
    <n v="105"/>
    <n v="245"/>
    <n v="89"/>
    <s v="23a91a05e5@aect.dummy.in"/>
  </r>
  <r>
    <x v="94"/>
    <x v="0"/>
    <x v="2"/>
    <n v="5"/>
    <n v="0"/>
    <n v="0"/>
    <n v="3"/>
    <n v="0"/>
    <n v="3"/>
    <n v="1"/>
    <s v="SQL (Basic)"/>
    <n v="1"/>
    <n v="5000001"/>
    <n v="0"/>
    <n v="0"/>
    <n v="31"/>
    <s v="23a91a05e6@aect.dummy.in"/>
  </r>
  <r>
    <x v="95"/>
    <x v="0"/>
    <x v="2"/>
    <n v="4"/>
    <n v="0"/>
    <n v="0"/>
    <n v="0"/>
    <n v="4"/>
    <n v="3"/>
    <n v="2"/>
    <s v="Problem Solving (Basic),SQL (Basic)"/>
    <n v="176"/>
    <n v="704638"/>
    <n v="26"/>
    <n v="81"/>
    <n v="133"/>
    <s v="23a91a05f3@aect.dummy.in"/>
  </r>
  <r>
    <x v="96"/>
    <x v="0"/>
    <x v="2"/>
    <n v="4"/>
    <n v="1"/>
    <n v="0"/>
    <n v="3"/>
    <n v="5"/>
    <n v="5"/>
    <n v="1"/>
    <s v="SQL (Basic)"/>
    <n v="337"/>
    <n v="299954"/>
    <n v="10"/>
    <n v="23"/>
    <n v="267"/>
    <s v="23a91a05f4@aect.dummy.in"/>
  </r>
  <r>
    <x v="97"/>
    <x v="0"/>
    <x v="3"/>
    <n v="5"/>
    <n v="0"/>
    <n v="0"/>
    <n v="1"/>
    <n v="5"/>
    <n v="4"/>
    <n v="2"/>
    <s v="SQL (Basic),SQL (Intermediate)"/>
    <n v="138"/>
    <n v="905941"/>
    <n v="119"/>
    <n v="186"/>
    <n v="530"/>
    <s v="23a91a05f5@aect.dummy.in"/>
  </r>
  <r>
    <x v="98"/>
    <x v="0"/>
    <x v="3"/>
    <n v="5"/>
    <n v="0"/>
    <n v="0"/>
    <n v="0"/>
    <n v="5"/>
    <n v="3"/>
    <n v="3"/>
    <s v="SQL (Basic),SQL (Intermediate),Problem Solving (Basic)"/>
    <n v="23"/>
    <n v="3065960"/>
    <n v="0"/>
    <n v="0"/>
    <n v="161"/>
    <s v="23a91a05f8@aect.dummy.in"/>
  </r>
  <r>
    <x v="99"/>
    <x v="0"/>
    <x v="3"/>
    <n v="2"/>
    <n v="0"/>
    <n v="1"/>
    <n v="0"/>
    <n v="0"/>
    <n v="2"/>
    <n v="0"/>
    <s v="Null"/>
    <n v="7"/>
    <n v="5000001"/>
    <n v="6"/>
    <n v="10"/>
    <n v="152"/>
    <s v="23a91a05g3@aect.dummy.in"/>
  </r>
  <r>
    <x v="100"/>
    <x v="0"/>
    <x v="3"/>
    <n v="4"/>
    <n v="0"/>
    <n v="1"/>
    <n v="3"/>
    <n v="0"/>
    <n v="4"/>
    <n v="0"/>
    <s v="Null"/>
    <n v="0"/>
    <n v="5000001"/>
    <n v="1"/>
    <n v="1"/>
    <n v="47"/>
    <s v="23a91a05g5@aect.dummy.in"/>
  </r>
  <r>
    <x v="101"/>
    <x v="0"/>
    <x v="3"/>
    <n v="3"/>
    <n v="0"/>
    <n v="0"/>
    <n v="0"/>
    <n v="0"/>
    <n v="1"/>
    <n v="1"/>
    <s v="SQL (Basic)"/>
    <n v="0"/>
    <n v="5000001"/>
    <n v="0"/>
    <n v="0"/>
    <n v="0"/>
    <s v="23a91a05g7@aect.dummy.in"/>
  </r>
  <r>
    <x v="102"/>
    <x v="0"/>
    <x v="3"/>
    <n v="4"/>
    <n v="3"/>
    <n v="3"/>
    <n v="4"/>
    <n v="5"/>
    <n v="6"/>
    <n v="4"/>
    <s v="SQL (Basic),SQL (Intermediate),SQL (Advanced),Problem Solving (Basic)"/>
    <n v="290"/>
    <n v="376441"/>
    <n v="130"/>
    <n v="321"/>
    <n v="289"/>
    <s v="23a91a05g8@aect.dummy.in"/>
  </r>
  <r>
    <x v="103"/>
    <x v="0"/>
    <x v="3"/>
    <n v="4"/>
    <n v="0"/>
    <n v="0"/>
    <n v="5"/>
    <n v="5"/>
    <n v="4"/>
    <n v="1"/>
    <s v="SQL (Basic)"/>
    <n v="10"/>
    <n v="4466436"/>
    <n v="6"/>
    <n v="20"/>
    <n v="7"/>
    <s v="23a91a05g9@aect.dummy.in"/>
  </r>
  <r>
    <x v="104"/>
    <x v="0"/>
    <x v="3"/>
    <n v="5"/>
    <n v="0"/>
    <n v="3"/>
    <n v="3"/>
    <n v="4"/>
    <n v="5"/>
    <n v="2"/>
    <s v="SQL (Basic),SQL (Intermediate)"/>
    <n v="33"/>
    <n v="2537614"/>
    <n v="2"/>
    <n v="5"/>
    <n v="259"/>
    <s v="23a91a05h2@aect.dummy.in"/>
  </r>
  <r>
    <x v="105"/>
    <x v="0"/>
    <x v="3"/>
    <n v="3"/>
    <n v="3"/>
    <n v="3"/>
    <n v="3"/>
    <n v="5"/>
    <n v="6"/>
    <n v="2"/>
    <s v="SQL (Basic),SQL (Intermediate)"/>
    <n v="193"/>
    <n v="636839"/>
    <n v="185"/>
    <n v="337"/>
    <n v="762"/>
    <s v="23a91a05h8@aect.dummy.in"/>
  </r>
  <r>
    <x v="106"/>
    <x v="0"/>
    <x v="3"/>
    <n v="4"/>
    <n v="0"/>
    <n v="3"/>
    <n v="4"/>
    <n v="5"/>
    <n v="5"/>
    <n v="2"/>
    <s v="SQL (Basic),SQL (Intermediate)"/>
    <n v="176"/>
    <n v="704810"/>
    <n v="115"/>
    <n v="165"/>
    <n v="358"/>
    <s v="23a91a05i0@aect.dummy.in"/>
  </r>
  <r>
    <x v="107"/>
    <x v="0"/>
    <x v="3"/>
    <n v="3"/>
    <n v="0"/>
    <n v="2"/>
    <n v="2"/>
    <n v="4"/>
    <n v="5"/>
    <n v="0"/>
    <s v="Null"/>
    <n v="113"/>
    <n v="1086458"/>
    <n v="45"/>
    <n v="108"/>
    <n v="307"/>
    <s v="23a91a05i3@aect.dummy.in"/>
  </r>
  <r>
    <x v="108"/>
    <x v="0"/>
    <x v="3"/>
    <n v="4"/>
    <n v="3"/>
    <n v="5"/>
    <n v="5"/>
    <n v="5"/>
    <n v="6"/>
    <n v="0"/>
    <s v="Null"/>
    <n v="278"/>
    <n v="399330"/>
    <n v="291"/>
    <n v="510"/>
    <n v="464"/>
    <s v="23a91a05i4@aect.dummy.in"/>
  </r>
  <r>
    <x v="109"/>
    <x v="0"/>
    <x v="3"/>
    <n v="4"/>
    <n v="4"/>
    <n v="3"/>
    <n v="3"/>
    <n v="3"/>
    <n v="6"/>
    <n v="2"/>
    <s v="SQL (Basic),SQL (Intermediate)"/>
    <n v="321"/>
    <n v="323746"/>
    <n v="182"/>
    <n v="513"/>
    <n v="208"/>
    <s v="23a91a05i6@aect.dummy.in"/>
  </r>
  <r>
    <x v="110"/>
    <x v="0"/>
    <x v="3"/>
    <n v="5"/>
    <n v="0"/>
    <n v="3"/>
    <n v="1"/>
    <n v="3"/>
    <n v="5"/>
    <n v="2"/>
    <s v="SQL (Basic),SQL (Intermediate)"/>
    <n v="22"/>
    <n v="3145436"/>
    <n v="93"/>
    <n v="325"/>
    <n v="175"/>
    <s v="23a91a05i8@aect.dummy.in"/>
  </r>
  <r>
    <x v="111"/>
    <x v="0"/>
    <x v="3"/>
    <n v="4"/>
    <n v="1"/>
    <n v="1"/>
    <n v="3"/>
    <n v="4"/>
    <n v="6"/>
    <n v="2"/>
    <s v="SQL (Basic),SQL (Intermediate)"/>
    <n v="318"/>
    <n v="328445"/>
    <n v="54"/>
    <n v="137"/>
    <n v="158"/>
    <s v="23a91a05j1@aect.dummy.in"/>
  </r>
  <r>
    <x v="112"/>
    <x v="0"/>
    <x v="3"/>
    <n v="3"/>
    <n v="0"/>
    <n v="0"/>
    <n v="1"/>
    <n v="4"/>
    <n v="4"/>
    <n v="1"/>
    <s v="SQL (Basic)"/>
    <n v="273"/>
    <n v="409624"/>
    <n v="60"/>
    <n v="180"/>
    <n v="43"/>
    <s v="23a91a05j2@aect.dummy.in"/>
  </r>
  <r>
    <x v="113"/>
    <x v="0"/>
    <x v="3"/>
    <n v="3"/>
    <n v="0"/>
    <n v="4"/>
    <n v="4"/>
    <n v="5"/>
    <n v="5"/>
    <n v="2"/>
    <s v="SQL (Basic),SQL (Intermediate)"/>
    <n v="108"/>
    <n v="1129902"/>
    <n v="8"/>
    <n v="10"/>
    <n v="204"/>
    <s v="23a91a05j8@aect.dummy.in"/>
  </r>
  <r>
    <x v="114"/>
    <x v="0"/>
    <x v="3"/>
    <n v="4"/>
    <n v="5"/>
    <n v="3"/>
    <n v="4"/>
    <n v="5"/>
    <n v="6"/>
    <n v="1"/>
    <s v="SQL (Basic)"/>
    <n v="508"/>
    <n v="141833"/>
    <n v="211"/>
    <n v="651"/>
    <n v="104"/>
    <s v="23a91a05j9@aect.dummy.in"/>
  </r>
  <r>
    <x v="115"/>
    <x v="0"/>
    <x v="3"/>
    <n v="5"/>
    <n v="4"/>
    <n v="4"/>
    <n v="4"/>
    <n v="5"/>
    <n v="6"/>
    <n v="3"/>
    <s v="SQL (Basic),Python (Basic),SQL (Intermediate)"/>
    <n v="161"/>
    <n v="774675"/>
    <n v="35"/>
    <n v="56"/>
    <n v="289"/>
    <s v="23a91a05k1@aect.dummy.in"/>
  </r>
  <r>
    <x v="116"/>
    <x v="0"/>
    <x v="3"/>
    <n v="4"/>
    <n v="0"/>
    <n v="0"/>
    <n v="0"/>
    <n v="1"/>
    <n v="3"/>
    <n v="2"/>
    <s v="SQL (Basic),SQL (Intermediate)"/>
    <n v="197"/>
    <n v="622401"/>
    <n v="84"/>
    <n v="204"/>
    <n v="157"/>
    <s v="23a91a05k2@aect.dummy.in"/>
  </r>
  <r>
    <x v="117"/>
    <x v="0"/>
    <x v="3"/>
    <n v="4"/>
    <n v="0"/>
    <n v="5"/>
    <n v="0"/>
    <n v="0"/>
    <n v="3"/>
    <n v="0"/>
    <s v="Null"/>
    <n v="28"/>
    <n v="2776153"/>
    <n v="0"/>
    <n v="0"/>
    <n v="32"/>
    <s v="23a91a1205@aect.dummy.in"/>
  </r>
  <r>
    <x v="118"/>
    <x v="0"/>
    <x v="3"/>
    <n v="4"/>
    <n v="2"/>
    <n v="1"/>
    <n v="0"/>
    <n v="4"/>
    <n v="5"/>
    <n v="2"/>
    <s v="SQL (Basic),SQL (Intermediate)"/>
    <n v="195"/>
    <n v="629497"/>
    <n v="92"/>
    <n v="129"/>
    <n v="190"/>
    <s v="23a91a1209@aect.dummy.in"/>
  </r>
  <r>
    <x v="119"/>
    <x v="0"/>
    <x v="3"/>
    <n v="5"/>
    <n v="0"/>
    <n v="5"/>
    <n v="1"/>
    <n v="0"/>
    <n v="4"/>
    <n v="0"/>
    <s v="Null"/>
    <n v="3"/>
    <n v="5000001"/>
    <n v="2"/>
    <n v="2"/>
    <n v="162"/>
    <s v="23a91a1211@aect.dummy.in"/>
  </r>
  <r>
    <x v="120"/>
    <x v="0"/>
    <x v="3"/>
    <n v="4"/>
    <n v="0"/>
    <n v="5"/>
    <n v="3"/>
    <n v="4"/>
    <n v="5"/>
    <n v="3"/>
    <s v="Python (Basic),SQL (Basic),SQL (Intermediate)"/>
    <n v="198"/>
    <n v="619048"/>
    <n v="60"/>
    <n v="135"/>
    <n v="73"/>
    <s v="23a91a1214@aect.dummy.in"/>
  </r>
  <r>
    <x v="121"/>
    <x v="0"/>
    <x v="3"/>
    <n v="3"/>
    <n v="1"/>
    <n v="0"/>
    <n v="0"/>
    <n v="0"/>
    <n v="2"/>
    <n v="0"/>
    <s v="Null"/>
    <n v="3"/>
    <n v="5000001"/>
    <n v="0"/>
    <n v="0"/>
    <n v="37"/>
    <s v="23a91a1216@aect.dummy.in"/>
  </r>
  <r>
    <x v="122"/>
    <x v="0"/>
    <x v="3"/>
    <n v="5"/>
    <n v="0"/>
    <n v="2"/>
    <n v="0"/>
    <n v="1"/>
    <n v="4"/>
    <n v="2"/>
    <s v="SQL (Basic),SQL (Intermediate)"/>
    <n v="188"/>
    <n v="655628"/>
    <n v="38"/>
    <n v="95"/>
    <n v="96"/>
    <s v="23a91a1220@aect.dummy.in"/>
  </r>
  <r>
    <x v="123"/>
    <x v="0"/>
    <x v="3"/>
    <n v="0"/>
    <n v="0"/>
    <n v="5"/>
    <n v="0"/>
    <n v="0"/>
    <n v="2"/>
    <n v="0"/>
    <s v="Null"/>
    <n v="15"/>
    <n v="3772103"/>
    <n v="11"/>
    <n v="40"/>
    <n v="293"/>
    <s v="23a91a1225@aect.dummy.in"/>
  </r>
  <r>
    <x v="124"/>
    <x v="0"/>
    <x v="3"/>
    <n v="5"/>
    <n v="0"/>
    <n v="5"/>
    <n v="5"/>
    <n v="4"/>
    <n v="5"/>
    <n v="2"/>
    <s v="SQL (Basic),SQL (Intermediate)"/>
    <n v="72"/>
    <n v="1545783"/>
    <n v="29"/>
    <n v="126"/>
    <n v="294"/>
    <s v="23a91a1226@aect.dummy.in"/>
  </r>
  <r>
    <x v="125"/>
    <x v="0"/>
    <x v="3"/>
    <n v="4"/>
    <n v="0"/>
    <n v="4"/>
    <n v="3"/>
    <n v="5"/>
    <n v="5"/>
    <n v="2"/>
    <s v="SQL (Basic),SQL (Intermediate)"/>
    <n v="98"/>
    <n v="1227258"/>
    <n v="9"/>
    <n v="13"/>
    <n v="998"/>
    <s v="23a91a1228@aect.dummy.in"/>
  </r>
  <r>
    <x v="126"/>
    <x v="0"/>
    <x v="3"/>
    <n v="5"/>
    <n v="0"/>
    <n v="0"/>
    <n v="0"/>
    <n v="0"/>
    <n v="1"/>
    <n v="0"/>
    <s v="Null"/>
    <n v="22"/>
    <n v="3152027"/>
    <n v="0"/>
    <n v="0"/>
    <n v="30"/>
    <s v="23a91a1229@aect.dummy.in"/>
  </r>
  <r>
    <x v="127"/>
    <x v="0"/>
    <x v="3"/>
    <n v="4"/>
    <n v="0"/>
    <n v="0"/>
    <n v="0"/>
    <n v="2"/>
    <n v="3"/>
    <n v="2"/>
    <s v="SQL (Basic),SQL (Intermediate)"/>
    <n v="253"/>
    <n v="454568"/>
    <n v="128"/>
    <n v="415"/>
    <n v="350"/>
    <s v="23a91a1231@aect.dummy.in"/>
  </r>
  <r>
    <x v="128"/>
    <x v="0"/>
    <x v="3"/>
    <n v="4"/>
    <n v="0"/>
    <n v="1"/>
    <n v="0"/>
    <n v="5"/>
    <n v="4"/>
    <n v="3"/>
    <s v="SQL (Basic),SQL (Intermediate),Python (Basic)"/>
    <n v="283"/>
    <n v="389505"/>
    <n v="157"/>
    <n v="231"/>
    <n v="199"/>
    <s v="23a91a1234@aect.dummy.in"/>
  </r>
  <r>
    <x v="129"/>
    <x v="0"/>
    <x v="3"/>
    <n v="3"/>
    <n v="0"/>
    <n v="1"/>
    <n v="0"/>
    <n v="1"/>
    <n v="4"/>
    <n v="1"/>
    <s v="SQL (Basic)"/>
    <n v="94"/>
    <n v="1266678"/>
    <n v="101"/>
    <n v="235"/>
    <n v="192"/>
    <s v="23a91a1235@aect.dummy.in"/>
  </r>
  <r>
    <x v="130"/>
    <x v="0"/>
    <x v="3"/>
    <n v="4"/>
    <n v="0"/>
    <n v="3"/>
    <n v="2"/>
    <n v="5"/>
    <n v="5"/>
    <n v="2"/>
    <s v="SQL (Basic),SQL (Intermediate)"/>
    <n v="91"/>
    <n v="1299283"/>
    <n v="6"/>
    <n v="8"/>
    <n v="797"/>
    <s v="23a91a1237@aect.dummy.in"/>
  </r>
  <r>
    <x v="131"/>
    <x v="0"/>
    <x v="3"/>
    <n v="5"/>
    <n v="0"/>
    <n v="0"/>
    <n v="0"/>
    <n v="0"/>
    <n v="2"/>
    <n v="0"/>
    <s v="Null"/>
    <n v="0"/>
    <n v="5000001"/>
    <n v="0"/>
    <n v="0"/>
    <n v="2"/>
    <s v="23a91a1239@aect.dummy.in"/>
  </r>
  <r>
    <x v="132"/>
    <x v="0"/>
    <x v="3"/>
    <n v="3"/>
    <n v="0"/>
    <n v="0"/>
    <n v="0"/>
    <n v="1"/>
    <n v="3"/>
    <n v="2"/>
    <s v="SQL (Basic),SQL (Intermediate)"/>
    <n v="235"/>
    <n v="500760"/>
    <n v="65"/>
    <n v="154"/>
    <n v="379"/>
    <s v="23a91a1252@aect.dummy.in"/>
  </r>
  <r>
    <x v="133"/>
    <x v="0"/>
    <x v="3"/>
    <n v="5"/>
    <n v="0"/>
    <n v="0"/>
    <n v="0"/>
    <n v="0"/>
    <n v="1"/>
    <n v="0"/>
    <s v="Null"/>
    <n v="4"/>
    <n v="5000001"/>
    <n v="0"/>
    <n v="0"/>
    <n v="141"/>
    <s v="23a91a1253@aect.dummy.in"/>
  </r>
  <r>
    <x v="134"/>
    <x v="0"/>
    <x v="3"/>
    <n v="5"/>
    <n v="0"/>
    <n v="1"/>
    <n v="1"/>
    <n v="2"/>
    <n v="5"/>
    <n v="2"/>
    <s v="SQL (Basic),SQL (Intermediate)"/>
    <n v="189"/>
    <n v="651991"/>
    <n v="55"/>
    <n v="122"/>
    <n v="303"/>
    <s v="23a91a1258@aect.dummy.in"/>
  </r>
  <r>
    <x v="135"/>
    <x v="0"/>
    <x v="3"/>
    <n v="4"/>
    <n v="4"/>
    <n v="0"/>
    <n v="1"/>
    <n v="1"/>
    <n v="5"/>
    <n v="2"/>
    <s v="SQL (Basic),SQL (Intermediate)"/>
    <n v="235"/>
    <n v="500604"/>
    <n v="38"/>
    <n v="104"/>
    <n v="67"/>
    <s v="23a91a1267@aect.dummy.in"/>
  </r>
  <r>
    <x v="136"/>
    <x v="0"/>
    <x v="3"/>
    <n v="5"/>
    <n v="0"/>
    <n v="0"/>
    <n v="0"/>
    <n v="4"/>
    <n v="2"/>
    <n v="2"/>
    <s v="SQL (Basic),SQL (Intermediate)"/>
    <n v="47"/>
    <n v="2064568"/>
    <n v="9"/>
    <n v="9"/>
    <n v="545"/>
    <s v="23a91a1268@aect.dummy.in"/>
  </r>
  <r>
    <x v="137"/>
    <x v="0"/>
    <x v="3"/>
    <n v="5"/>
    <n v="1"/>
    <n v="0"/>
    <n v="0"/>
    <n v="2"/>
    <n v="3"/>
    <n v="1"/>
    <s v="SQL (Basic)"/>
    <n v="83"/>
    <n v="1392730"/>
    <n v="59"/>
    <n v="112"/>
    <n v="215"/>
    <s v="23a91a1269@aect.dummy.in"/>
  </r>
  <r>
    <x v="138"/>
    <x v="0"/>
    <x v="3"/>
    <n v="4"/>
    <n v="0"/>
    <n v="5"/>
    <n v="2"/>
    <n v="0"/>
    <n v="4"/>
    <n v="0"/>
    <s v="Null"/>
    <n v="1"/>
    <n v="5000001"/>
    <n v="0"/>
    <n v="0"/>
    <n v="65"/>
    <s v="23a91a1292@aect.dummy.in"/>
  </r>
  <r>
    <x v="139"/>
    <x v="0"/>
    <x v="3"/>
    <n v="4"/>
    <n v="0"/>
    <n v="3"/>
    <n v="3"/>
    <n v="5"/>
    <n v="5"/>
    <n v="2"/>
    <s v="SQL (Basic),SQL (Intermediate)"/>
    <n v="95"/>
    <n v="1257047"/>
    <n v="2"/>
    <n v="4"/>
    <n v="930"/>
    <s v="23a91a1293@aect.dummy.in"/>
  </r>
  <r>
    <x v="140"/>
    <x v="0"/>
    <x v="4"/>
    <n v="5"/>
    <n v="0"/>
    <n v="5"/>
    <n v="0"/>
    <n v="0"/>
    <n v="3"/>
    <n v="3"/>
    <s v="SQL (Intermediate),SQL (Basic),Problem Solving (Intermediate)"/>
    <n v="34"/>
    <n v="2500651"/>
    <n v="0"/>
    <n v="0"/>
    <n v="167"/>
    <s v="23a91a1294@aect.dummy.in"/>
  </r>
  <r>
    <x v="141"/>
    <x v="0"/>
    <x v="4"/>
    <n v="5"/>
    <n v="0"/>
    <n v="5"/>
    <n v="4"/>
    <n v="0"/>
    <n v="4"/>
    <n v="0"/>
    <s v="Null"/>
    <n v="1"/>
    <n v="5000001"/>
    <n v="2"/>
    <n v="4"/>
    <n v="131"/>
    <s v="23a91a1295@aect.dummy.in"/>
  </r>
  <r>
    <x v="142"/>
    <x v="0"/>
    <x v="4"/>
    <n v="3"/>
    <n v="0"/>
    <n v="0"/>
    <n v="0"/>
    <n v="3"/>
    <n v="2"/>
    <n v="2"/>
    <s v="SQL (Basic),SQL (Intermediate)"/>
    <n v="75"/>
    <n v="1502899"/>
    <n v="5"/>
    <n v="11"/>
    <n v="57"/>
    <s v="23a91a12a6@aect.dummy.in"/>
  </r>
  <r>
    <x v="143"/>
    <x v="0"/>
    <x v="4"/>
    <n v="5"/>
    <n v="0"/>
    <n v="5"/>
    <n v="1"/>
    <n v="0"/>
    <n v="4"/>
    <n v="0"/>
    <s v="Null"/>
    <n v="10"/>
    <n v="4456737"/>
    <n v="0"/>
    <n v="0"/>
    <n v="70"/>
    <s v="23a91a12a9@aect.dummy.in"/>
  </r>
  <r>
    <x v="144"/>
    <x v="0"/>
    <x v="4"/>
    <n v="3"/>
    <n v="0"/>
    <n v="3"/>
    <n v="0"/>
    <n v="2"/>
    <n v="4"/>
    <n v="2"/>
    <s v="SQL (Basic),SQL (Intermediate)"/>
    <n v="205"/>
    <n v="593319"/>
    <n v="45"/>
    <n v="156"/>
    <n v="266"/>
    <s v="23a91a12c1@aect.dummy.in"/>
  </r>
  <r>
    <x v="145"/>
    <x v="0"/>
    <x v="4"/>
    <n v="5"/>
    <n v="0"/>
    <n v="5"/>
    <n v="5"/>
    <n v="0"/>
    <n v="4"/>
    <n v="0"/>
    <s v="Null"/>
    <n v="11"/>
    <n v="4329215"/>
    <n v="0"/>
    <n v="0"/>
    <n v="61"/>
    <s v="23a91a12c4@aect.dummy.in"/>
  </r>
  <r>
    <x v="146"/>
    <x v="0"/>
    <x v="4"/>
    <n v="3"/>
    <n v="0"/>
    <n v="0"/>
    <n v="0"/>
    <n v="3"/>
    <n v="3"/>
    <n v="2"/>
    <s v="SQL (Basic),SQL (Intermediate)"/>
    <n v="144"/>
    <n v="869353"/>
    <n v="27"/>
    <n v="93"/>
    <n v="137"/>
    <s v="23a91a12c5@aect.dummy.in"/>
  </r>
  <r>
    <x v="147"/>
    <x v="0"/>
    <x v="4"/>
    <n v="5"/>
    <n v="0"/>
    <n v="0"/>
    <n v="0"/>
    <n v="1"/>
    <n v="3"/>
    <n v="1"/>
    <s v="SQL (Basic)"/>
    <n v="54"/>
    <n v="1880546"/>
    <n v="3"/>
    <n v="8"/>
    <n v="225"/>
    <s v="23a91a4402@aect.dummy.in"/>
  </r>
  <r>
    <x v="148"/>
    <x v="0"/>
    <x v="4"/>
    <n v="5"/>
    <n v="0"/>
    <n v="1"/>
    <n v="3"/>
    <n v="5"/>
    <n v="5"/>
    <n v="1"/>
    <s v="SQL (Basic)"/>
    <n v="119"/>
    <n v="1039330"/>
    <n v="0"/>
    <n v="0"/>
    <n v="177"/>
    <s v="23a91a4403@aect.dummy.in"/>
  </r>
  <r>
    <x v="149"/>
    <x v="0"/>
    <x v="4"/>
    <n v="5"/>
    <n v="0"/>
    <n v="0"/>
    <n v="0"/>
    <n v="1"/>
    <n v="2"/>
    <n v="1"/>
    <s v="SQL (Basic)"/>
    <n v="60"/>
    <n v="1751803"/>
    <n v="2"/>
    <n v="4"/>
    <n v="90"/>
    <s v="23a91a4409@aect.dummy.in"/>
  </r>
  <r>
    <x v="150"/>
    <x v="0"/>
    <x v="4"/>
    <n v="5"/>
    <n v="0"/>
    <n v="0"/>
    <n v="1"/>
    <n v="0"/>
    <n v="3"/>
    <n v="1"/>
    <s v="C# (Basic)"/>
    <n v="7"/>
    <n v="5000001"/>
    <n v="0"/>
    <n v="0"/>
    <n v="42"/>
    <s v="23a91a4410@aect.dummy.in"/>
  </r>
  <r>
    <x v="151"/>
    <x v="0"/>
    <x v="4"/>
    <n v="2"/>
    <n v="0"/>
    <n v="0"/>
    <n v="1"/>
    <n v="5"/>
    <n v="4"/>
    <n v="1"/>
    <s v="SQL (Basic)"/>
    <n v="83"/>
    <n v="1392748"/>
    <n v="21"/>
    <n v="80"/>
    <n v="60"/>
    <s v="23a91a4429@aect.dummy.in"/>
  </r>
  <r>
    <x v="152"/>
    <x v="0"/>
    <x v="4"/>
    <n v="4"/>
    <n v="0"/>
    <n v="0"/>
    <n v="0"/>
    <n v="0"/>
    <n v="2"/>
    <n v="0"/>
    <s v="Null"/>
    <n v="23"/>
    <n v="3066563"/>
    <n v="6"/>
    <n v="6"/>
    <n v="73"/>
    <s v="23a91a4440@aect.dummy.in"/>
  </r>
  <r>
    <x v="153"/>
    <x v="0"/>
    <x v="4"/>
    <n v="5"/>
    <n v="1"/>
    <n v="0"/>
    <n v="1"/>
    <n v="4"/>
    <n v="5"/>
    <n v="1"/>
    <s v="SQL (Basic)"/>
    <n v="39"/>
    <n v="2308156"/>
    <n v="3"/>
    <n v="6"/>
    <n v="529"/>
    <s v="23a91a4445@aect.dummy.in"/>
  </r>
  <r>
    <x v="154"/>
    <x v="0"/>
    <x v="4"/>
    <n v="3"/>
    <n v="3"/>
    <n v="3"/>
    <n v="3"/>
    <n v="4"/>
    <n v="6"/>
    <n v="1"/>
    <s v="SQL (Basic)"/>
    <n v="60"/>
    <n v="1753828"/>
    <n v="93"/>
    <n v="328"/>
    <n v="503"/>
    <s v="23a91a4454@aect.dummy.in"/>
  </r>
  <r>
    <x v="155"/>
    <x v="0"/>
    <x v="4"/>
    <n v="0"/>
    <n v="0"/>
    <n v="0"/>
    <n v="0"/>
    <n v="0"/>
    <n v="0"/>
    <n v="0"/>
    <s v="Null"/>
    <n v="0"/>
    <n v="0"/>
    <n v="0"/>
    <n v="0"/>
    <n v="0"/>
    <s v="23a91a4459@aect.dummy.in"/>
  </r>
  <r>
    <x v="156"/>
    <x v="0"/>
    <x v="4"/>
    <n v="2"/>
    <n v="0"/>
    <n v="0"/>
    <n v="0"/>
    <n v="0"/>
    <n v="1"/>
    <n v="0"/>
    <s v="Null"/>
    <n v="0"/>
    <n v="5000001"/>
    <n v="0"/>
    <n v="0"/>
    <n v="3"/>
    <s v="23a91a4465@aect.dummy.in"/>
  </r>
  <r>
    <x v="157"/>
    <x v="0"/>
    <x v="4"/>
    <n v="2"/>
    <n v="0"/>
    <n v="0"/>
    <n v="0"/>
    <n v="4"/>
    <n v="3"/>
    <n v="1"/>
    <s v="SQL (Basic)"/>
    <n v="11"/>
    <n v="4290187"/>
    <n v="0"/>
    <n v="0"/>
    <n v="26"/>
    <s v="23a91a6105@aect.dummy.in"/>
  </r>
  <r>
    <x v="158"/>
    <x v="0"/>
    <x v="4"/>
    <n v="3"/>
    <n v="1"/>
    <n v="5"/>
    <n v="1"/>
    <n v="2"/>
    <n v="5"/>
    <n v="0"/>
    <s v="Null"/>
    <n v="31"/>
    <n v="2624147"/>
    <n v="9"/>
    <n v="12"/>
    <n v="125"/>
    <s v="23a91a6108@aect.dummy.in"/>
  </r>
  <r>
    <x v="159"/>
    <x v="0"/>
    <x v="4"/>
    <n v="5"/>
    <n v="0"/>
    <n v="0"/>
    <n v="0"/>
    <n v="5"/>
    <n v="2"/>
    <n v="2"/>
    <s v="SQL (Basic),Python (Basic)"/>
    <n v="115"/>
    <n v="1070228"/>
    <n v="1"/>
    <n v="1"/>
    <n v="280"/>
    <s v="23a91a6112@aect.dummy.in"/>
  </r>
  <r>
    <x v="160"/>
    <x v="0"/>
    <x v="4"/>
    <n v="4"/>
    <n v="3"/>
    <n v="3"/>
    <n v="5"/>
    <n v="5"/>
    <n v="6"/>
    <n v="3"/>
    <s v="SQL (Basic),SQL (Intermediate),Python (Basic)"/>
    <n v="181"/>
    <n v="683790"/>
    <n v="110"/>
    <n v="367"/>
    <n v="325"/>
    <s v="23a91a6113@aect.dummy.in"/>
  </r>
  <r>
    <x v="161"/>
    <x v="0"/>
    <x v="4"/>
    <n v="5"/>
    <n v="0"/>
    <n v="2"/>
    <n v="5"/>
    <n v="5"/>
    <n v="5"/>
    <n v="1"/>
    <s v="SQL (Basic)"/>
    <n v="73"/>
    <n v="1529510"/>
    <n v="0"/>
    <n v="0"/>
    <n v="75"/>
    <s v="23a91a6116@aect.dummy.in"/>
  </r>
  <r>
    <x v="162"/>
    <x v="0"/>
    <x v="4"/>
    <n v="5"/>
    <n v="0"/>
    <n v="0"/>
    <n v="0"/>
    <n v="2"/>
    <n v="3"/>
    <n v="2"/>
    <s v="SQL (Intermediate),SQL (Basic)"/>
    <n v="30"/>
    <n v="2675759"/>
    <n v="6"/>
    <n v="9"/>
    <n v="234"/>
    <s v="23a91a6119@aect.dummy.in"/>
  </r>
  <r>
    <x v="163"/>
    <x v="0"/>
    <x v="4"/>
    <n v="4"/>
    <n v="0"/>
    <n v="0"/>
    <n v="0"/>
    <n v="2"/>
    <n v="3"/>
    <n v="1"/>
    <s v="SQL (Basic)"/>
    <n v="124"/>
    <n v="1000017"/>
    <n v="46"/>
    <n v="136"/>
    <n v="302"/>
    <s v="23a91a6124@aect.dummy.in"/>
  </r>
  <r>
    <x v="164"/>
    <x v="0"/>
    <x v="4"/>
    <n v="5"/>
    <n v="0"/>
    <n v="3"/>
    <n v="3"/>
    <n v="5"/>
    <n v="5"/>
    <n v="2"/>
    <s v="SQL (Basic),SQL (Intermediate)"/>
    <n v="209"/>
    <n v="579693"/>
    <n v="49"/>
    <n v="133"/>
    <n v="1044"/>
    <s v="23a91a6127@aect.dummy.in"/>
  </r>
  <r>
    <x v="165"/>
    <x v="0"/>
    <x v="4"/>
    <n v="4"/>
    <n v="0"/>
    <n v="1"/>
    <n v="0"/>
    <n v="5"/>
    <n v="4"/>
    <n v="2"/>
    <s v="Java (Basic),SQL (Intermediate)"/>
    <n v="72"/>
    <n v="1546026"/>
    <n v="0"/>
    <n v="0"/>
    <n v="411"/>
    <s v="23a91a6136@aect.dummy.in"/>
  </r>
  <r>
    <x v="166"/>
    <x v="0"/>
    <x v="4"/>
    <n v="5"/>
    <n v="0"/>
    <n v="0"/>
    <n v="0"/>
    <n v="4"/>
    <n v="2"/>
    <n v="1"/>
    <s v="SQL (Basic)"/>
    <n v="16"/>
    <n v="3674756"/>
    <n v="28"/>
    <n v="105"/>
    <n v="65"/>
    <s v="23a91a6142@aect.dummy.in"/>
  </r>
  <r>
    <x v="167"/>
    <x v="1"/>
    <x v="0"/>
    <n v="5"/>
    <n v="0"/>
    <n v="0"/>
    <n v="2"/>
    <n v="4"/>
    <n v="4"/>
    <n v="2"/>
    <s v="SQL (Basic),SQL (Intermediate)"/>
    <n v="63"/>
    <n v="1696238"/>
    <n v="11"/>
    <n v="17"/>
    <n v="364"/>
    <s v="23a91a6144@aect.dummy.in"/>
  </r>
  <r>
    <x v="168"/>
    <x v="1"/>
    <x v="0"/>
    <n v="1"/>
    <n v="0"/>
    <n v="0"/>
    <n v="0"/>
    <n v="0"/>
    <n v="2"/>
    <n v="0"/>
    <s v="Null"/>
    <n v="0"/>
    <n v="5000001"/>
    <n v="0"/>
    <n v="0"/>
    <n v="115"/>
    <s v="23a91a6149@aect.dummy.in"/>
  </r>
  <r>
    <x v="169"/>
    <x v="1"/>
    <x v="0"/>
    <n v="0"/>
    <n v="0"/>
    <n v="0"/>
    <n v="0"/>
    <n v="0"/>
    <n v="0"/>
    <n v="0"/>
    <s v="Null"/>
    <n v="42"/>
    <n v="2207971"/>
    <n v="10"/>
    <n v="23"/>
    <n v="244"/>
    <s v="23a91a6151@aect.dummy.in"/>
  </r>
  <r>
    <x v="170"/>
    <x v="1"/>
    <x v="0"/>
    <n v="3"/>
    <n v="2"/>
    <n v="0"/>
    <n v="2"/>
    <n v="4"/>
    <n v="5"/>
    <n v="1"/>
    <s v="SQL (Basic)"/>
    <n v="66"/>
    <n v="1642169"/>
    <n v="79"/>
    <n v="117"/>
    <n v="480"/>
    <s v="23a91a6152@aect.dummy.in"/>
  </r>
  <r>
    <x v="171"/>
    <x v="1"/>
    <x v="0"/>
    <n v="2"/>
    <n v="0"/>
    <n v="1"/>
    <n v="0"/>
    <n v="4"/>
    <n v="3"/>
    <n v="1"/>
    <s v="SQL (Basic)"/>
    <n v="42"/>
    <n v="2207974"/>
    <n v="7"/>
    <n v="12"/>
    <n v="259"/>
    <s v="23a91a6153@aect.dummy.in"/>
  </r>
  <r>
    <x v="172"/>
    <x v="1"/>
    <x v="0"/>
    <n v="5"/>
    <n v="0"/>
    <n v="5"/>
    <n v="1"/>
    <n v="2"/>
    <n v="5"/>
    <n v="0"/>
    <s v="Null"/>
    <n v="2"/>
    <n v="5000001"/>
    <n v="1"/>
    <n v="1"/>
    <n v="115"/>
    <s v="23a91a6159@aect.dummy.in"/>
  </r>
  <r>
    <x v="173"/>
    <x v="1"/>
    <x v="0"/>
    <n v="4"/>
    <n v="1"/>
    <n v="0"/>
    <n v="0"/>
    <n v="3"/>
    <n v="4"/>
    <n v="1"/>
    <s v="SQL (Basic)"/>
    <n v="338"/>
    <n v="298490"/>
    <n v="114"/>
    <n v="347"/>
    <n v="381"/>
    <s v="23a91a6166@aect.dummy.in"/>
  </r>
  <r>
    <x v="174"/>
    <x v="1"/>
    <x v="0"/>
    <n v="3"/>
    <n v="3"/>
    <n v="1"/>
    <n v="3"/>
    <n v="3"/>
    <n v="6"/>
    <n v="1"/>
    <s v="SQL (Basic)"/>
    <n v="120"/>
    <n v="1031082"/>
    <n v="118"/>
    <n v="197"/>
    <n v="349"/>
    <s v="23a91a6168@aect.dummy.in"/>
  </r>
  <r>
    <x v="175"/>
    <x v="1"/>
    <x v="0"/>
    <n v="3"/>
    <n v="0"/>
    <n v="0"/>
    <n v="2"/>
    <n v="4"/>
    <n v="4"/>
    <n v="1"/>
    <s v="SQL (Basic)"/>
    <n v="43"/>
    <n v="2176916"/>
    <n v="4"/>
    <n v="5"/>
    <n v="734"/>
    <s v="23a91a6169@aect.dummy.in"/>
  </r>
  <r>
    <x v="176"/>
    <x v="1"/>
    <x v="0"/>
    <n v="1"/>
    <n v="0"/>
    <n v="0"/>
    <n v="0"/>
    <n v="3"/>
    <n v="3"/>
    <n v="1"/>
    <s v="SQL (Intermediate)"/>
    <n v="45"/>
    <n v="2117895"/>
    <n v="0"/>
    <n v="0"/>
    <n v="163"/>
    <s v="23a91a6171@aect.dummy.in"/>
  </r>
  <r>
    <x v="177"/>
    <x v="1"/>
    <x v="0"/>
    <n v="3"/>
    <n v="0"/>
    <n v="2"/>
    <n v="2"/>
    <n v="4"/>
    <n v="5"/>
    <n v="1"/>
    <s v="SQL (Basic)"/>
    <n v="157"/>
    <n v="795383"/>
    <n v="183"/>
    <n v="404"/>
    <n v="0"/>
    <s v="23a91a6172@aect.dummy.in"/>
  </r>
  <r>
    <x v="178"/>
    <x v="1"/>
    <x v="0"/>
    <n v="4"/>
    <n v="3"/>
    <n v="2"/>
    <n v="1"/>
    <n v="4"/>
    <n v="6"/>
    <n v="1"/>
    <s v="SQL (Basic)"/>
    <n v="226"/>
    <n v="526298"/>
    <n v="166"/>
    <n v="313"/>
    <n v="108"/>
    <s v="23a91a6181@aect.dummy.in"/>
  </r>
  <r>
    <x v="179"/>
    <x v="1"/>
    <x v="0"/>
    <n v="3"/>
    <n v="0"/>
    <n v="0"/>
    <n v="1"/>
    <n v="5"/>
    <n v="3"/>
    <n v="3"/>
    <s v="SQL (Basic),Python (Basic),Problem Solving (Basic)"/>
    <n v="16"/>
    <n v="3657397"/>
    <n v="11"/>
    <n v="40"/>
    <n v="146"/>
    <s v="23a91a6188@aect.dummy.in"/>
  </r>
  <r>
    <x v="180"/>
    <x v="1"/>
    <x v="0"/>
    <n v="3"/>
    <n v="0"/>
    <n v="3"/>
    <n v="3"/>
    <n v="4"/>
    <n v="5"/>
    <n v="1"/>
    <s v="SQL (Basic)"/>
    <n v="88"/>
    <n v="1333186"/>
    <n v="47"/>
    <n v="81"/>
    <n v="547"/>
    <s v="23a91a6191@aect.dummy.in"/>
  </r>
  <r>
    <x v="181"/>
    <x v="1"/>
    <x v="0"/>
    <n v="5"/>
    <n v="4"/>
    <n v="3"/>
    <n v="4"/>
    <n v="5"/>
    <n v="6"/>
    <n v="2"/>
    <s v="SQL (Basic),SQL (Intermediate)"/>
    <n v="265"/>
    <n v="426779"/>
    <n v="89"/>
    <n v="199"/>
    <n v="162"/>
    <s v="23a91a61a0@aect.dummy.in"/>
  </r>
  <r>
    <x v="182"/>
    <x v="1"/>
    <x v="0"/>
    <n v="4"/>
    <n v="0"/>
    <n v="0"/>
    <n v="0"/>
    <n v="2"/>
    <n v="3"/>
    <n v="2"/>
    <s v="SQL (Basic),SQL (Intermediate)"/>
    <n v="24"/>
    <n v="3005212"/>
    <n v="11"/>
    <n v="13"/>
    <n v="98"/>
    <s v="23a91a61a2@aect.dummy.in"/>
  </r>
  <r>
    <x v="183"/>
    <x v="1"/>
    <x v="0"/>
    <n v="1"/>
    <n v="3"/>
    <n v="0"/>
    <n v="0"/>
    <n v="2"/>
    <n v="4"/>
    <n v="2"/>
    <s v="SQL (Basic),SQL (Intermediate)"/>
    <n v="83"/>
    <n v="1392066"/>
    <n v="19"/>
    <n v="23"/>
    <n v="146"/>
    <s v="23a91a61a9@aect.dummy.in"/>
  </r>
  <r>
    <x v="184"/>
    <x v="1"/>
    <x v="0"/>
    <n v="3"/>
    <n v="0"/>
    <n v="1"/>
    <n v="2"/>
    <n v="4"/>
    <n v="5"/>
    <n v="1"/>
    <s v="SQL (Basic)"/>
    <n v="137"/>
    <n v="912090"/>
    <n v="74"/>
    <n v="216"/>
    <n v="342"/>
    <s v="23a91a61b3@aect.dummy.in"/>
  </r>
  <r>
    <x v="185"/>
    <x v="1"/>
    <x v="0"/>
    <n v="3"/>
    <n v="0"/>
    <n v="0"/>
    <n v="0"/>
    <n v="3"/>
    <n v="2"/>
    <n v="1"/>
    <s v="SQL (Basic)"/>
    <n v="36"/>
    <n v="2415775"/>
    <n v="2"/>
    <n v="6"/>
    <n v="32"/>
    <s v="23a91a61b4@aect.dummy.in"/>
  </r>
  <r>
    <x v="186"/>
    <x v="1"/>
    <x v="1"/>
    <n v="2"/>
    <n v="0"/>
    <n v="0"/>
    <n v="0"/>
    <n v="3"/>
    <n v="3"/>
    <n v="1"/>
    <s v="SQL (Basic)"/>
    <n v="52"/>
    <n v="1926559"/>
    <n v="58"/>
    <n v="176"/>
    <n v="92"/>
    <s v="23a91a61b7@aect.dummy.in"/>
  </r>
  <r>
    <x v="187"/>
    <x v="1"/>
    <x v="1"/>
    <n v="1"/>
    <n v="0"/>
    <n v="0"/>
    <n v="1"/>
    <n v="2"/>
    <n v="4"/>
    <n v="1"/>
    <s v="SQL (Basic)"/>
    <n v="15"/>
    <n v="3763145"/>
    <n v="0"/>
    <n v="0"/>
    <n v="287"/>
    <s v="23a91a61c0@aect.dummy.in"/>
  </r>
  <r>
    <x v="188"/>
    <x v="1"/>
    <x v="1"/>
    <n v="3"/>
    <n v="0"/>
    <n v="0"/>
    <n v="2"/>
    <n v="4"/>
    <n v="4"/>
    <n v="1"/>
    <s v="SQL (Basic)"/>
    <n v="81"/>
    <n v="1417386"/>
    <n v="10"/>
    <n v="18"/>
    <n v="270"/>
    <s v="23a91a61c2@aect.dummy.in"/>
  </r>
  <r>
    <x v="189"/>
    <x v="1"/>
    <x v="1"/>
    <n v="5"/>
    <n v="0"/>
    <n v="0"/>
    <n v="0"/>
    <n v="3"/>
    <n v="3"/>
    <n v="1"/>
    <s v="SQL (Basic)"/>
    <n v="249"/>
    <n v="464531"/>
    <n v="113"/>
    <n v="303"/>
    <n v="203"/>
    <s v="23a91a61c5@aect.dummy.in"/>
  </r>
  <r>
    <x v="190"/>
    <x v="1"/>
    <x v="1"/>
    <n v="4"/>
    <n v="0"/>
    <n v="0"/>
    <n v="4"/>
    <n v="4"/>
    <n v="4"/>
    <n v="2"/>
    <s v="SQL (Basic),SQL (Intermediate)"/>
    <n v="96"/>
    <n v="1245603"/>
    <n v="15"/>
    <n v="26"/>
    <n v="366"/>
    <s v="23a91a61c7@aect.dummy.in"/>
  </r>
  <r>
    <x v="191"/>
    <x v="1"/>
    <x v="1"/>
    <n v="0"/>
    <n v="0"/>
    <n v="0"/>
    <n v="0"/>
    <n v="3"/>
    <n v="1"/>
    <n v="1"/>
    <s v="SQL (Basic)"/>
    <n v="11"/>
    <n v="4328995"/>
    <n v="0"/>
    <n v="0"/>
    <n v="293"/>
    <s v="23a91a61c8@aect.dummy.in"/>
  </r>
  <r>
    <x v="192"/>
    <x v="1"/>
    <x v="1"/>
    <n v="3"/>
    <n v="0"/>
    <n v="1"/>
    <n v="2"/>
    <n v="5"/>
    <n v="5"/>
    <n v="1"/>
    <s v="Python (Basic)"/>
    <n v="55"/>
    <n v="1857942"/>
    <n v="3"/>
    <n v="4"/>
    <n v="0"/>
    <s v="23a91a61d8@aect.dummy.in"/>
  </r>
  <r>
    <x v="193"/>
    <x v="1"/>
    <x v="1"/>
    <n v="2"/>
    <n v="0"/>
    <n v="0"/>
    <n v="0"/>
    <n v="5"/>
    <n v="3"/>
    <n v="1"/>
    <s v="SQL (Basic)"/>
    <n v="36"/>
    <n v="2416563"/>
    <n v="1"/>
    <n v="4"/>
    <n v="238"/>
    <s v="23a91a61e2@aect.dummy.in"/>
  </r>
  <r>
    <x v="194"/>
    <x v="1"/>
    <x v="1"/>
    <n v="2"/>
    <n v="0"/>
    <n v="0"/>
    <n v="2"/>
    <n v="4"/>
    <n v="3"/>
    <n v="2"/>
    <s v="SQL (Basic),SQL (Intermediate)"/>
    <n v="30"/>
    <n v="2673309"/>
    <n v="0"/>
    <n v="0"/>
    <n v="100"/>
    <s v="23a91a61e4@aect.dummy.in"/>
  </r>
  <r>
    <x v="195"/>
    <x v="1"/>
    <x v="1"/>
    <n v="4"/>
    <n v="0"/>
    <n v="1"/>
    <n v="1"/>
    <n v="4"/>
    <n v="5"/>
    <n v="1"/>
    <s v="SQL (Basic)"/>
    <n v="293"/>
    <n v="370985"/>
    <n v="0"/>
    <n v="0"/>
    <n v="31"/>
    <s v="23a91a61e9@aect.dummy.in"/>
  </r>
  <r>
    <x v="196"/>
    <x v="1"/>
    <x v="1"/>
    <n v="5"/>
    <n v="0"/>
    <n v="5"/>
    <n v="0"/>
    <n v="0"/>
    <n v="2"/>
    <n v="0"/>
    <s v="Null"/>
    <n v="0"/>
    <n v="5000001"/>
    <n v="4"/>
    <n v="5"/>
    <n v="0"/>
    <s v="23a91a61f2@aect.dummy.in"/>
  </r>
  <r>
    <x v="197"/>
    <x v="1"/>
    <x v="1"/>
    <n v="2"/>
    <n v="0"/>
    <n v="0"/>
    <n v="0"/>
    <n v="3"/>
    <n v="3"/>
    <n v="1"/>
    <s v="SQL (Basic)"/>
    <n v="139"/>
    <n v="899480"/>
    <n v="0"/>
    <n v="0"/>
    <n v="785"/>
    <s v="23a91a61f7@aect.dummy.in"/>
  </r>
  <r>
    <x v="198"/>
    <x v="1"/>
    <x v="1"/>
    <n v="5"/>
    <n v="0"/>
    <n v="3"/>
    <n v="3"/>
    <n v="5"/>
    <n v="4"/>
    <n v="3"/>
    <s v="Java (Basic),SQL (Basic),JavaScript (Basic)"/>
    <n v="101"/>
    <n v="1196890"/>
    <n v="0"/>
    <n v="0"/>
    <n v="243"/>
    <s v="23a91a61g7@aect.dummy.in"/>
  </r>
  <r>
    <x v="199"/>
    <x v="1"/>
    <x v="1"/>
    <n v="3"/>
    <n v="1"/>
    <n v="2"/>
    <n v="3"/>
    <n v="4"/>
    <n v="6"/>
    <n v="1"/>
    <s v="SQL (Basic)"/>
    <n v="345"/>
    <n v="288806"/>
    <n v="126"/>
    <n v="320"/>
    <n v="384"/>
    <s v="23a91a61g9@aect.dummy.in"/>
  </r>
  <r>
    <x v="200"/>
    <x v="1"/>
    <x v="1"/>
    <n v="0"/>
    <n v="0"/>
    <n v="0"/>
    <n v="0"/>
    <n v="0"/>
    <n v="0"/>
    <n v="0"/>
    <s v="Null"/>
    <n v="302"/>
    <n v="355226"/>
    <n v="0"/>
    <n v="0"/>
    <n v="218"/>
    <s v="23a91a61h5@aect.dummy.in"/>
  </r>
  <r>
    <x v="201"/>
    <x v="1"/>
    <x v="1"/>
    <n v="4"/>
    <n v="1"/>
    <n v="1"/>
    <n v="2"/>
    <n v="4"/>
    <n v="6"/>
    <n v="2"/>
    <s v="SQL (Basic),SQL (Intermediate)"/>
    <n v="91"/>
    <n v="1299134"/>
    <n v="42"/>
    <n v="75"/>
    <n v="457"/>
    <s v="23a91a61i6@aect.dummy.in"/>
  </r>
  <r>
    <x v="202"/>
    <x v="1"/>
    <x v="1"/>
    <n v="1"/>
    <n v="0"/>
    <n v="0"/>
    <n v="2"/>
    <n v="3"/>
    <n v="4"/>
    <n v="1"/>
    <s v="SQL (Basic)"/>
    <n v="12"/>
    <n v="4146508"/>
    <n v="0"/>
    <n v="0"/>
    <n v="352"/>
    <s v="23a91a61j3@aect.dummy.in"/>
  </r>
  <r>
    <x v="203"/>
    <x v="1"/>
    <x v="1"/>
    <n v="4"/>
    <n v="0"/>
    <n v="0"/>
    <n v="0"/>
    <n v="0"/>
    <n v="2"/>
    <n v="1"/>
    <s v="SQL (Basic)"/>
    <n v="27"/>
    <n v="2826473"/>
    <n v="10"/>
    <n v="10"/>
    <n v="294"/>
    <s v="23a91a61j5@aect.dummy.in"/>
  </r>
  <r>
    <x v="204"/>
    <x v="1"/>
    <x v="1"/>
    <n v="5"/>
    <n v="0"/>
    <n v="5"/>
    <n v="2"/>
    <n v="0"/>
    <n v="3"/>
    <n v="0"/>
    <s v="Null"/>
    <n v="15"/>
    <n v="3769512"/>
    <n v="0"/>
    <n v="0"/>
    <n v="3"/>
    <s v="23a91a61j6@aect.dummy.in"/>
  </r>
  <r>
    <x v="205"/>
    <x v="1"/>
    <x v="1"/>
    <n v="0"/>
    <n v="0"/>
    <n v="0"/>
    <n v="0"/>
    <n v="0"/>
    <n v="0"/>
    <n v="0"/>
    <s v="Null"/>
    <n v="0"/>
    <n v="5000001"/>
    <n v="0"/>
    <n v="0"/>
    <n v="0"/>
    <s v="23mh1a0408@aect.dummy.in"/>
  </r>
  <r>
    <x v="206"/>
    <x v="1"/>
    <x v="1"/>
    <n v="3"/>
    <n v="0"/>
    <n v="0"/>
    <n v="0"/>
    <n v="0"/>
    <n v="1"/>
    <n v="0"/>
    <s v="Null"/>
    <n v="0"/>
    <n v="5000001"/>
    <n v="0"/>
    <n v="0"/>
    <n v="36"/>
    <s v="23mh1a0412@aect.dummy.in"/>
  </r>
  <r>
    <x v="207"/>
    <x v="1"/>
    <x v="1"/>
    <n v="0"/>
    <n v="0"/>
    <n v="0"/>
    <n v="0"/>
    <n v="0"/>
    <n v="0"/>
    <n v="0"/>
    <s v="Null"/>
    <n v="0"/>
    <n v="5000001"/>
    <n v="0"/>
    <n v="0"/>
    <n v="17"/>
    <s v="23mh1a0422@aect.dummy.in"/>
  </r>
  <r>
    <x v="208"/>
    <x v="1"/>
    <x v="1"/>
    <n v="0"/>
    <n v="0"/>
    <n v="0"/>
    <n v="2"/>
    <n v="0"/>
    <n v="1"/>
    <n v="0"/>
    <s v="Null"/>
    <n v="30"/>
    <n v="2783856"/>
    <n v="45"/>
    <n v="54"/>
    <n v="203"/>
    <s v="23mh1a0424@aect.dummy.in"/>
  </r>
  <r>
    <x v="209"/>
    <x v="1"/>
    <x v="1"/>
    <n v="0"/>
    <n v="0"/>
    <n v="0"/>
    <n v="0"/>
    <n v="0"/>
    <n v="0"/>
    <n v="0"/>
    <s v="Null"/>
    <n v="0"/>
    <n v="5000001"/>
    <n v="0"/>
    <n v="0"/>
    <n v="0"/>
    <s v="23mh1a0428@aect.dummy.in"/>
  </r>
  <r>
    <x v="210"/>
    <x v="1"/>
    <x v="1"/>
    <n v="0"/>
    <n v="0"/>
    <n v="0"/>
    <n v="2"/>
    <n v="0"/>
    <n v="1"/>
    <n v="0"/>
    <s v="Null"/>
    <n v="0"/>
    <n v="5000001"/>
    <n v="0"/>
    <n v="0"/>
    <n v="74"/>
    <s v="23mh1a0433@aect.dummy.in"/>
  </r>
  <r>
    <x v="211"/>
    <x v="1"/>
    <x v="1"/>
    <n v="0"/>
    <n v="0"/>
    <n v="0"/>
    <n v="0"/>
    <n v="0"/>
    <n v="0"/>
    <n v="0"/>
    <s v="Null"/>
    <n v="0"/>
    <n v="5000001"/>
    <n v="0"/>
    <n v="0"/>
    <n v="21"/>
    <s v="23mh1a0435@aect.dummy.in"/>
  </r>
  <r>
    <x v="212"/>
    <x v="1"/>
    <x v="1"/>
    <n v="0"/>
    <n v="0"/>
    <n v="0"/>
    <n v="1"/>
    <n v="0"/>
    <n v="1"/>
    <n v="0"/>
    <s v="Null"/>
    <n v="21"/>
    <n v="3214934"/>
    <n v="2"/>
    <n v="0"/>
    <n v="70"/>
    <s v="23mh1a0456@aect.dummy.in"/>
  </r>
  <r>
    <x v="213"/>
    <x v="1"/>
    <x v="1"/>
    <n v="0"/>
    <n v="0"/>
    <n v="0"/>
    <n v="0"/>
    <n v="0"/>
    <n v="0"/>
    <n v="0"/>
    <s v="Null"/>
    <n v="0"/>
    <n v="5000001"/>
    <n v="0"/>
    <n v="0"/>
    <n v="57"/>
    <s v="23mh1a0462@aect.dummy.in"/>
  </r>
  <r>
    <x v="214"/>
    <x v="1"/>
    <x v="1"/>
    <n v="0"/>
    <n v="0"/>
    <n v="0"/>
    <n v="0"/>
    <n v="0"/>
    <n v="0"/>
    <n v="0"/>
    <s v="Null"/>
    <n v="0"/>
    <n v="5000001"/>
    <n v="0"/>
    <n v="0"/>
    <n v="10"/>
    <s v="23mh1a0465@aect.dummy.in"/>
  </r>
  <r>
    <x v="215"/>
    <x v="1"/>
    <x v="1"/>
    <n v="0"/>
    <n v="0"/>
    <n v="0"/>
    <n v="0"/>
    <n v="0"/>
    <n v="0"/>
    <n v="0"/>
    <s v="Null"/>
    <n v="0"/>
    <n v="5000001"/>
    <n v="0"/>
    <n v="0"/>
    <n v="255"/>
    <s v="23mh1a0476@aect.dummy.in"/>
  </r>
  <r>
    <x v="216"/>
    <x v="1"/>
    <x v="1"/>
    <n v="3"/>
    <n v="0"/>
    <n v="0"/>
    <n v="3"/>
    <n v="0"/>
    <n v="2"/>
    <n v="1"/>
    <s v="Python (Basic)"/>
    <n v="22"/>
    <n v="3153799"/>
    <n v="4"/>
    <n v="8"/>
    <n v="200"/>
    <s v="23mh1a0484@aect.dummy.in"/>
  </r>
  <r>
    <x v="217"/>
    <x v="1"/>
    <x v="1"/>
    <n v="0"/>
    <n v="0"/>
    <n v="0"/>
    <n v="1"/>
    <n v="0"/>
    <n v="1"/>
    <n v="0"/>
    <s v="Null"/>
    <n v="0"/>
    <n v="5000001"/>
    <n v="0"/>
    <n v="0"/>
    <n v="447"/>
    <s v="23mh1a04a0@aect.dummy.in"/>
  </r>
  <r>
    <x v="218"/>
    <x v="1"/>
    <x v="1"/>
    <n v="0"/>
    <n v="0"/>
    <n v="0"/>
    <n v="0"/>
    <n v="0"/>
    <n v="0"/>
    <n v="0"/>
    <s v="Null"/>
    <n v="0"/>
    <n v="5000001"/>
    <n v="0"/>
    <n v="0"/>
    <n v="138"/>
    <s v="23mh1a04g2@aect.dummy.in"/>
  </r>
  <r>
    <x v="219"/>
    <x v="1"/>
    <x v="1"/>
    <n v="0"/>
    <n v="0"/>
    <n v="0"/>
    <n v="0"/>
    <n v="0"/>
    <n v="0"/>
    <n v="0"/>
    <s v="Null"/>
    <n v="0"/>
    <n v="5000001"/>
    <n v="0"/>
    <n v="0"/>
    <n v="167"/>
    <s v="23mh1a04h9@aect.dummy.in"/>
  </r>
  <r>
    <x v="220"/>
    <x v="1"/>
    <x v="1"/>
    <n v="0"/>
    <n v="0"/>
    <n v="0"/>
    <n v="0"/>
    <n v="0"/>
    <n v="0"/>
    <n v="0"/>
    <s v="Null"/>
    <n v="0"/>
    <n v="5000001"/>
    <n v="0"/>
    <n v="0"/>
    <n v="0"/>
    <s v="23mh1a0510@aect.dummy.in"/>
  </r>
  <r>
    <x v="221"/>
    <x v="1"/>
    <x v="1"/>
    <n v="0"/>
    <n v="0"/>
    <n v="0"/>
    <n v="0"/>
    <n v="0"/>
    <n v="0"/>
    <n v="0"/>
    <s v="Null"/>
    <n v="0"/>
    <n v="5000001"/>
    <n v="2"/>
    <n v="2"/>
    <n v="127"/>
    <s v="23mh1a0524@aect.dummy.in"/>
  </r>
  <r>
    <x v="222"/>
    <x v="1"/>
    <x v="1"/>
    <n v="0"/>
    <n v="0"/>
    <n v="0"/>
    <n v="0"/>
    <n v="0"/>
    <n v="0"/>
    <n v="0"/>
    <s v="Null"/>
    <n v="0"/>
    <n v="5000001"/>
    <n v="0"/>
    <n v="0"/>
    <n v="29"/>
    <s v="23mh1a0525@aect.dummy.in"/>
  </r>
  <r>
    <x v="223"/>
    <x v="1"/>
    <x v="1"/>
    <n v="0"/>
    <n v="1"/>
    <n v="0"/>
    <n v="0"/>
    <n v="0"/>
    <n v="1"/>
    <n v="0"/>
    <s v="Null"/>
    <n v="1"/>
    <n v="5000001"/>
    <n v="4"/>
    <n v="10"/>
    <n v="23"/>
    <s v="23mh1a0549@aect.dummy.in"/>
  </r>
  <r>
    <x v="224"/>
    <x v="1"/>
    <x v="1"/>
    <n v="0"/>
    <n v="0"/>
    <n v="1"/>
    <n v="1"/>
    <n v="0"/>
    <n v="2"/>
    <n v="0"/>
    <s v="Null"/>
    <n v="0"/>
    <n v="5000001"/>
    <n v="0"/>
    <n v="0"/>
    <n v="32"/>
    <s v="23mh1a0553@aect.dummy.in"/>
  </r>
  <r>
    <x v="225"/>
    <x v="1"/>
    <x v="1"/>
    <n v="0"/>
    <n v="0"/>
    <n v="0"/>
    <n v="0"/>
    <n v="0"/>
    <n v="0"/>
    <n v="0"/>
    <s v="Null"/>
    <n v="0"/>
    <n v="5000001"/>
    <n v="0"/>
    <n v="0"/>
    <n v="18"/>
    <s v="23mh1a0571@aect.dummy.in"/>
  </r>
  <r>
    <x v="226"/>
    <x v="1"/>
    <x v="1"/>
    <n v="0"/>
    <n v="0"/>
    <n v="0"/>
    <n v="0"/>
    <n v="0"/>
    <n v="0"/>
    <n v="0"/>
    <s v="Null"/>
    <n v="0"/>
    <n v="5000001"/>
    <n v="0"/>
    <n v="0"/>
    <n v="66"/>
    <s v="23mh1a0585@aect.dummy.in"/>
  </r>
  <r>
    <x v="227"/>
    <x v="1"/>
    <x v="1"/>
    <n v="5"/>
    <n v="0"/>
    <n v="5"/>
    <n v="5"/>
    <n v="5"/>
    <n v="4"/>
    <n v="6"/>
    <s v="Python (Basic),Problem Solving (Basic),SQL (Basic),SQL (Intermediate),Java (Basic),SQL (Advanced)"/>
    <n v="220"/>
    <n v="544409"/>
    <n v="193"/>
    <n v="642"/>
    <n v="444"/>
    <s v="23mh1a0595@aect.dummy.in"/>
  </r>
  <r>
    <x v="228"/>
    <x v="1"/>
    <x v="1"/>
    <n v="0"/>
    <n v="0"/>
    <n v="0"/>
    <n v="0"/>
    <n v="0"/>
    <n v="0"/>
    <n v="0"/>
    <s v="Null"/>
    <n v="0"/>
    <n v="5000001"/>
    <n v="0"/>
    <n v="0"/>
    <n v="529"/>
    <s v="23mh1a0599@aect.dummy.in"/>
  </r>
  <r>
    <x v="229"/>
    <x v="1"/>
    <x v="1"/>
    <n v="3"/>
    <n v="0"/>
    <n v="0"/>
    <n v="5"/>
    <n v="0"/>
    <n v="3"/>
    <n v="2"/>
    <s v="Python (Basic),CSS (Basic)"/>
    <n v="28"/>
    <n v="2786750"/>
    <n v="2"/>
    <n v="4"/>
    <n v="250"/>
    <s v="23mh1a05c0@aect.dummy.in"/>
  </r>
  <r>
    <x v="230"/>
    <x v="1"/>
    <x v="1"/>
    <n v="0"/>
    <n v="0"/>
    <n v="5"/>
    <n v="2"/>
    <n v="4"/>
    <n v="3"/>
    <n v="1"/>
    <s v="Java (Basic)"/>
    <n v="16"/>
    <n v="3654870"/>
    <n v="120"/>
    <n v="378"/>
    <n v="538"/>
    <s v="23mh1a05d8@aect.dummy.in"/>
  </r>
  <r>
    <x v="231"/>
    <x v="1"/>
    <x v="1"/>
    <n v="4"/>
    <n v="0"/>
    <n v="0"/>
    <n v="2"/>
    <n v="4"/>
    <n v="3"/>
    <n v="1"/>
    <s v="SQL (Basic)"/>
    <n v="30"/>
    <n v="2677182"/>
    <n v="9"/>
    <n v="20"/>
    <n v="119"/>
    <s v="23mh1a05e6@aect.dummy.in"/>
  </r>
  <r>
    <x v="232"/>
    <x v="1"/>
    <x v="1"/>
    <n v="3"/>
    <n v="0"/>
    <n v="3"/>
    <n v="0"/>
    <n v="3"/>
    <n v="4"/>
    <n v="4"/>
    <s v="SQL (Basic),SQL (Intermediate),Java (Basic),CSS (Basic)"/>
    <n v="137"/>
    <n v="912351"/>
    <n v="54"/>
    <n v="96"/>
    <n v="418"/>
    <s v="23mh1a05e7@aect.dummy.in"/>
  </r>
  <r>
    <x v="233"/>
    <x v="1"/>
    <x v="1"/>
    <n v="0"/>
    <n v="0"/>
    <n v="0"/>
    <n v="0"/>
    <n v="0"/>
    <n v="0"/>
    <n v="0"/>
    <s v="Null"/>
    <n v="0"/>
    <n v="5000001"/>
    <n v="0"/>
    <n v="0"/>
    <n v="0"/>
    <s v="23mh1a05e9@aect.dummy.in"/>
  </r>
  <r>
    <x v="234"/>
    <x v="1"/>
    <x v="1"/>
    <n v="2"/>
    <n v="0"/>
    <n v="0"/>
    <n v="0"/>
    <n v="4"/>
    <n v="2"/>
    <n v="2"/>
    <s v="SQL (Basic),SQL (Intermediate)"/>
    <n v="56"/>
    <n v="1835836"/>
    <n v="23"/>
    <n v="54"/>
    <n v="91"/>
    <s v="23mh1a05f2@aect.dummy.in"/>
  </r>
  <r>
    <x v="235"/>
    <x v="1"/>
    <x v="1"/>
    <n v="2"/>
    <n v="0"/>
    <n v="3"/>
    <n v="0"/>
    <n v="0"/>
    <n v="3"/>
    <n v="0"/>
    <s v="Null"/>
    <n v="1"/>
    <n v="5000001"/>
    <n v="0"/>
    <n v="0"/>
    <n v="64"/>
    <s v="23mh1a05f4@aect.dummy.in"/>
  </r>
  <r>
    <x v="236"/>
    <x v="1"/>
    <x v="1"/>
    <n v="4"/>
    <n v="2"/>
    <n v="0"/>
    <n v="3"/>
    <n v="5"/>
    <n v="5"/>
    <n v="2"/>
    <s v="SQL (Basic),SQL (Intermediate)"/>
    <n v="137"/>
    <n v="912280"/>
    <n v="50"/>
    <n v="151"/>
    <n v="235"/>
    <s v="23mh1a05f5@aect.dummy.in"/>
  </r>
  <r>
    <x v="237"/>
    <x v="1"/>
    <x v="1"/>
    <n v="3"/>
    <n v="1"/>
    <n v="1"/>
    <n v="3"/>
    <n v="2"/>
    <n v="5"/>
    <n v="2"/>
    <s v="SQL (Basic),SQL (Intermediate)"/>
    <n v="111"/>
    <n v="1103134"/>
    <n v="0"/>
    <n v="0"/>
    <n v="324"/>
    <s v="23mh1a05f7@aect.dummy.in"/>
  </r>
  <r>
    <x v="238"/>
    <x v="1"/>
    <x v="1"/>
    <n v="4"/>
    <n v="3"/>
    <n v="3"/>
    <n v="3"/>
    <n v="4"/>
    <n v="6"/>
    <n v="2"/>
    <s v="SQL (Basic),SQL (Intermediate)"/>
    <n v="125"/>
    <n v="993728"/>
    <n v="101"/>
    <n v="176"/>
    <n v="410"/>
    <s v="23mh1a05f9@aect.dummy.in"/>
  </r>
  <r>
    <x v="239"/>
    <x v="1"/>
    <x v="1"/>
    <n v="0"/>
    <n v="3"/>
    <n v="2"/>
    <n v="3"/>
    <n v="3"/>
    <n v="4"/>
    <n v="2"/>
    <s v="SQL (Basic),SQL (Intermediate)"/>
    <n v="137"/>
    <n v="912241"/>
    <n v="53"/>
    <n v="98"/>
    <n v="221"/>
    <s v="23mh1a05g0@aect.dummy.in"/>
  </r>
  <r>
    <x v="240"/>
    <x v="1"/>
    <x v="1"/>
    <n v="0"/>
    <n v="0"/>
    <n v="0"/>
    <n v="0"/>
    <n v="0"/>
    <n v="0"/>
    <n v="0"/>
    <s v="Null"/>
    <n v="0"/>
    <n v="5000001"/>
    <n v="0"/>
    <n v="0"/>
    <n v="0"/>
    <s v="23mh1a05g2@aect.dummy.in"/>
  </r>
  <r>
    <x v="241"/>
    <x v="1"/>
    <x v="1"/>
    <n v="2"/>
    <n v="0"/>
    <n v="2"/>
    <n v="1"/>
    <n v="0"/>
    <n v="4"/>
    <n v="0"/>
    <s v="Null"/>
    <n v="2"/>
    <n v="5000001"/>
    <n v="0"/>
    <n v="0"/>
    <n v="21"/>
    <s v="23mh1a05g4@aect.dummy.in"/>
  </r>
  <r>
    <x v="242"/>
    <x v="1"/>
    <x v="1"/>
    <n v="0"/>
    <n v="0"/>
    <n v="0"/>
    <n v="0"/>
    <n v="1"/>
    <n v="1"/>
    <n v="0"/>
    <s v="Null"/>
    <n v="0"/>
    <n v="5000001"/>
    <n v="0"/>
    <n v="0"/>
    <n v="30"/>
    <s v="23mh1a05g5@aect.dummy.in"/>
  </r>
  <r>
    <x v="243"/>
    <x v="1"/>
    <x v="1"/>
    <n v="0"/>
    <n v="0"/>
    <n v="0"/>
    <n v="0"/>
    <n v="4"/>
    <n v="2"/>
    <n v="2"/>
    <s v="SQL (Basic),SQL (Intermediate)"/>
    <n v="47"/>
    <n v="2063096"/>
    <n v="0"/>
    <n v="0"/>
    <n v="0"/>
    <s v="23mh1a05g7@aect.dummy.in"/>
  </r>
  <r>
    <x v="244"/>
    <x v="1"/>
    <x v="1"/>
    <n v="1"/>
    <n v="0"/>
    <n v="1"/>
    <n v="0"/>
    <n v="0"/>
    <n v="2"/>
    <n v="0"/>
    <s v="Null"/>
    <n v="19"/>
    <n v="3373127"/>
    <n v="0"/>
    <n v="0"/>
    <n v="88"/>
    <s v="23mh1a05h0@aect.dummy.in"/>
  </r>
  <r>
    <x v="245"/>
    <x v="1"/>
    <x v="1"/>
    <n v="0"/>
    <n v="0"/>
    <n v="0"/>
    <n v="0"/>
    <n v="0"/>
    <n v="0"/>
    <n v="0"/>
    <s v="Null"/>
    <n v="0"/>
    <n v="5000001"/>
    <n v="0"/>
    <n v="0"/>
    <n v="0"/>
    <s v="23mh1a05h2@aect.dummy.in"/>
  </r>
  <r>
    <x v="246"/>
    <x v="1"/>
    <x v="1"/>
    <n v="0"/>
    <n v="0"/>
    <n v="0"/>
    <n v="0"/>
    <n v="0"/>
    <n v="0"/>
    <n v="0"/>
    <s v="Null"/>
    <n v="1"/>
    <n v="5000001"/>
    <n v="3"/>
    <n v="5"/>
    <n v="134"/>
    <s v="23mh1a05h3@aect.dummy.in"/>
  </r>
  <r>
    <x v="247"/>
    <x v="1"/>
    <x v="1"/>
    <n v="0"/>
    <n v="0"/>
    <n v="0"/>
    <n v="0"/>
    <n v="0"/>
    <n v="1"/>
    <n v="0"/>
    <s v="Null"/>
    <n v="0"/>
    <n v="5000001"/>
    <n v="0"/>
    <n v="0"/>
    <n v="9"/>
    <s v="23mh1a05h5@aect.dummy.in"/>
  </r>
  <r>
    <x v="248"/>
    <x v="1"/>
    <x v="1"/>
    <n v="2"/>
    <n v="0"/>
    <n v="0"/>
    <n v="0"/>
    <n v="0"/>
    <n v="1"/>
    <n v="0"/>
    <s v="Null"/>
    <n v="0"/>
    <n v="5000001"/>
    <n v="0"/>
    <n v="0"/>
    <n v="0"/>
    <s v="23mh1a05h7@aect.dummy.in"/>
  </r>
  <r>
    <x v="249"/>
    <x v="1"/>
    <x v="1"/>
    <n v="4"/>
    <n v="3"/>
    <n v="5"/>
    <n v="3"/>
    <n v="2"/>
    <n v="5"/>
    <n v="2"/>
    <s v="SQL (Basic),SQL (Intermediate)"/>
    <n v="209"/>
    <n v="579846"/>
    <n v="144"/>
    <n v="226"/>
    <n v="788"/>
    <s v="23mh1a05h8@aect.dummy.in"/>
  </r>
  <r>
    <x v="250"/>
    <x v="1"/>
    <x v="1"/>
    <n v="0"/>
    <n v="0"/>
    <n v="1"/>
    <n v="1"/>
    <n v="3"/>
    <n v="4"/>
    <n v="2"/>
    <s v="SQL (Basic),SQL (Intermediate)"/>
    <n v="27"/>
    <n v="2830335"/>
    <n v="6"/>
    <n v="26"/>
    <n v="250"/>
    <s v="23mh1a05i2@aect.dummy.in"/>
  </r>
  <r>
    <x v="251"/>
    <x v="1"/>
    <x v="1"/>
    <n v="4"/>
    <n v="0"/>
    <n v="1"/>
    <n v="0"/>
    <n v="1"/>
    <n v="3"/>
    <n v="0"/>
    <s v="Null"/>
    <n v="16"/>
    <n v="3657143"/>
    <n v="0"/>
    <n v="0"/>
    <n v="4"/>
    <s v="23mh1a05i3@aect.dummy.in"/>
  </r>
  <r>
    <x v="252"/>
    <x v="1"/>
    <x v="1"/>
    <n v="0"/>
    <n v="0"/>
    <n v="0"/>
    <n v="0"/>
    <n v="0"/>
    <n v="0"/>
    <n v="0"/>
    <s v="Null"/>
    <n v="14"/>
    <n v="3893023"/>
    <n v="0"/>
    <n v="0"/>
    <n v="0"/>
    <s v="23mh1a05i5@aect.dummy.in"/>
  </r>
  <r>
    <x v="253"/>
    <x v="1"/>
    <x v="1"/>
    <n v="3"/>
    <n v="0"/>
    <n v="0"/>
    <n v="0"/>
    <n v="0"/>
    <n v="1"/>
    <n v="0"/>
    <s v="Null"/>
    <n v="0"/>
    <n v="5000001"/>
    <n v="0"/>
    <n v="0"/>
    <n v="51"/>
    <s v="23mh1a05i6@aect.dummy.in"/>
  </r>
  <r>
    <x v="254"/>
    <x v="1"/>
    <x v="1"/>
    <n v="1"/>
    <n v="0"/>
    <n v="3"/>
    <n v="1"/>
    <n v="0"/>
    <n v="4"/>
    <n v="0"/>
    <s v="Null"/>
    <n v="3"/>
    <n v="5000001"/>
    <n v="5"/>
    <n v="7"/>
    <n v="137"/>
    <s v="23mh1a05i7@aect.dummy.in"/>
  </r>
  <r>
    <x v="255"/>
    <x v="1"/>
    <x v="1"/>
    <n v="0"/>
    <n v="0"/>
    <n v="0"/>
    <n v="0"/>
    <n v="0"/>
    <n v="1"/>
    <n v="0"/>
    <s v="Null"/>
    <n v="0"/>
    <n v="5000001"/>
    <n v="0"/>
    <n v="0"/>
    <n v="0"/>
    <s v="23mh1a05i9@aect.dummy.in"/>
  </r>
  <r>
    <x v="256"/>
    <x v="1"/>
    <x v="1"/>
    <n v="3"/>
    <n v="2"/>
    <n v="1"/>
    <n v="1"/>
    <n v="5"/>
    <n v="6"/>
    <n v="2"/>
    <s v="SQL (Basic),SQL (Intermediate)"/>
    <n v="209"/>
    <n v="579812"/>
    <n v="255"/>
    <n v="763"/>
    <n v="694"/>
    <s v="23mh1a05j2@aect.dummy.in"/>
  </r>
  <r>
    <x v="257"/>
    <x v="1"/>
    <x v="1"/>
    <n v="3"/>
    <n v="0"/>
    <n v="2"/>
    <n v="1"/>
    <n v="0"/>
    <n v="4"/>
    <n v="0"/>
    <s v="Null"/>
    <n v="1"/>
    <n v="5000001"/>
    <n v="5"/>
    <n v="14"/>
    <n v="85"/>
    <s v="23mh1a05j4@aect.dummy.in"/>
  </r>
  <r>
    <x v="258"/>
    <x v="1"/>
    <x v="1"/>
    <n v="2"/>
    <n v="0"/>
    <n v="0"/>
    <n v="0"/>
    <n v="3"/>
    <n v="2"/>
    <n v="1"/>
    <s v="SQL (Basic)"/>
    <n v="72"/>
    <n v="1545688"/>
    <n v="28"/>
    <n v="89"/>
    <n v="550"/>
    <s v="23mh1a05j5@aect.dummy.in"/>
  </r>
  <r>
    <x v="259"/>
    <x v="1"/>
    <x v="1"/>
    <n v="0"/>
    <n v="0"/>
    <n v="0"/>
    <n v="0"/>
    <n v="0"/>
    <n v="1"/>
    <n v="0"/>
    <s v="Null"/>
    <n v="0"/>
    <n v="5000001"/>
    <n v="0"/>
    <n v="0"/>
    <n v="0"/>
    <s v="23mh1a05j9@aect.dummy.in"/>
  </r>
  <r>
    <x v="260"/>
    <x v="1"/>
    <x v="1"/>
    <n v="0"/>
    <n v="0"/>
    <n v="4"/>
    <n v="1"/>
    <n v="0"/>
    <n v="2"/>
    <n v="0"/>
    <s v="Null"/>
    <n v="23"/>
    <n v="3070030"/>
    <n v="40"/>
    <n v="144"/>
    <n v="494"/>
    <s v="23mh1a05k1@aect.dummy.in"/>
  </r>
  <r>
    <x v="261"/>
    <x v="1"/>
    <x v="1"/>
    <n v="1"/>
    <n v="0"/>
    <n v="0"/>
    <n v="0"/>
    <n v="0"/>
    <n v="1"/>
    <n v="0"/>
    <s v="Null"/>
    <n v="6"/>
    <n v="5000001"/>
    <n v="1"/>
    <n v="1"/>
    <n v="280"/>
    <s v="23mh1a05k2@aect.dummy.in"/>
  </r>
  <r>
    <x v="262"/>
    <x v="1"/>
    <x v="1"/>
    <n v="2"/>
    <n v="0"/>
    <n v="0"/>
    <n v="1"/>
    <n v="0"/>
    <n v="2"/>
    <n v="0"/>
    <s v="Null"/>
    <n v="13"/>
    <n v="4035691"/>
    <n v="0"/>
    <n v="0"/>
    <n v="31"/>
    <s v="23mh1a05k4@aect.dummy.in"/>
  </r>
  <r>
    <x v="263"/>
    <x v="1"/>
    <x v="1"/>
    <n v="0"/>
    <n v="0"/>
    <n v="0"/>
    <n v="0"/>
    <n v="0"/>
    <n v="0"/>
    <n v="0"/>
    <s v="Null"/>
    <n v="1"/>
    <n v="5000001"/>
    <n v="1"/>
    <n v="1"/>
    <n v="151"/>
    <s v="23mh1a05k5@aect.dummy.in"/>
  </r>
  <r>
    <x v="264"/>
    <x v="1"/>
    <x v="1"/>
    <n v="3"/>
    <n v="0"/>
    <n v="0"/>
    <n v="1"/>
    <n v="0"/>
    <n v="2"/>
    <n v="0"/>
    <s v="Null"/>
    <n v="38"/>
    <n v="2342782"/>
    <n v="131"/>
    <n v="388"/>
    <n v="87"/>
    <s v="23mh1a05k7@aect.dummy.in"/>
  </r>
  <r>
    <x v="265"/>
    <x v="1"/>
    <x v="1"/>
    <n v="3"/>
    <n v="4"/>
    <n v="3"/>
    <n v="3"/>
    <n v="3"/>
    <n v="6"/>
    <n v="7"/>
    <s v="SQL (Basic),Java (Basic),SQL (Intermediate),Python (Basic),SQL (Advanced),Problem Solving (Basic),Problem Solving (Intermediate)"/>
    <n v="180"/>
    <n v="688071"/>
    <n v="105"/>
    <n v="266"/>
    <n v="43"/>
    <s v="23mh1a05l1@aect.dummy.in"/>
  </r>
  <r>
    <x v="266"/>
    <x v="1"/>
    <x v="1"/>
    <n v="4"/>
    <n v="0"/>
    <n v="0"/>
    <n v="0"/>
    <n v="0"/>
    <n v="1"/>
    <n v="0"/>
    <s v="Null"/>
    <n v="0"/>
    <n v="5000001"/>
    <n v="0"/>
    <n v="0"/>
    <n v="0"/>
    <s v="23mh1a05l2@aect.dummy.in"/>
  </r>
  <r>
    <x v="267"/>
    <x v="1"/>
    <x v="1"/>
    <n v="3"/>
    <n v="0"/>
    <n v="0"/>
    <n v="2"/>
    <n v="3"/>
    <n v="3"/>
    <n v="1"/>
    <s v="SQL (Basic)"/>
    <n v="304"/>
    <n v="351725"/>
    <n v="87"/>
    <n v="210"/>
    <n v="330"/>
    <s v="23mh1a05l3@aect.dummy.in"/>
  </r>
  <r>
    <x v="268"/>
    <x v="1"/>
    <x v="1"/>
    <n v="2"/>
    <n v="0"/>
    <n v="0"/>
    <n v="2"/>
    <n v="2"/>
    <n v="3"/>
    <n v="1"/>
    <s v="SQL (Basic)"/>
    <n v="161"/>
    <n v="774844"/>
    <n v="102"/>
    <n v="290"/>
    <n v="172"/>
    <s v="23mh1a05l4@aect.dummy.in"/>
  </r>
  <r>
    <x v="269"/>
    <x v="1"/>
    <x v="1"/>
    <n v="4"/>
    <n v="0"/>
    <n v="0"/>
    <n v="0"/>
    <n v="0"/>
    <n v="1"/>
    <n v="0"/>
    <s v="Null"/>
    <n v="4"/>
    <n v="5000001"/>
    <n v="3"/>
    <n v="3"/>
    <n v="145"/>
    <s v="23mh1a05l8@aect.dummy.in"/>
  </r>
  <r>
    <x v="270"/>
    <x v="1"/>
    <x v="1"/>
    <n v="3"/>
    <n v="0"/>
    <n v="0"/>
    <n v="0"/>
    <n v="0"/>
    <n v="1"/>
    <n v="2"/>
    <s v="C# (Basic),Python (Basic)"/>
    <n v="1"/>
    <n v="5000001"/>
    <n v="2"/>
    <n v="5"/>
    <n v="93"/>
    <s v="23mh1a05l9@aect.dummy.in"/>
  </r>
  <r>
    <x v="271"/>
    <x v="1"/>
    <x v="2"/>
    <n v="5"/>
    <n v="0"/>
    <n v="0"/>
    <n v="3"/>
    <n v="5"/>
    <n v="3"/>
    <n v="3"/>
    <s v="SQL (Basic),SQL (Intermediate),Java (Basic)"/>
    <n v="21"/>
    <n v="3214069"/>
    <n v="0"/>
    <n v="0"/>
    <n v="8"/>
    <s v="23mh1a05m0@aect.dummy.in"/>
  </r>
  <r>
    <x v="272"/>
    <x v="1"/>
    <x v="2"/>
    <n v="2"/>
    <n v="0"/>
    <n v="0"/>
    <n v="0"/>
    <n v="1"/>
    <n v="3"/>
    <n v="1"/>
    <s v="SQL (Basic)"/>
    <n v="110"/>
    <n v="1112372"/>
    <n v="39"/>
    <n v="108"/>
    <n v="341"/>
    <s v="23mh1a05m1@aect.dummy.in"/>
  </r>
  <r>
    <x v="273"/>
    <x v="1"/>
    <x v="2"/>
    <n v="3"/>
    <n v="3"/>
    <n v="3"/>
    <n v="3"/>
    <n v="0"/>
    <n v="5"/>
    <n v="0"/>
    <s v="Null"/>
    <n v="132"/>
    <n v="951853"/>
    <n v="108"/>
    <n v="283"/>
    <n v="334"/>
    <s v="23mh1a05m4@aect.dummy.in"/>
  </r>
  <r>
    <x v="274"/>
    <x v="1"/>
    <x v="2"/>
    <n v="2"/>
    <n v="0"/>
    <n v="2"/>
    <n v="0"/>
    <n v="0"/>
    <n v="3"/>
    <n v="0"/>
    <s v="Null"/>
    <n v="74"/>
    <n v="1516353"/>
    <n v="2"/>
    <n v="2"/>
    <n v="462"/>
    <s v="23mh1a05m8@aect.dummy.in"/>
  </r>
  <r>
    <x v="275"/>
    <x v="1"/>
    <x v="2"/>
    <n v="4"/>
    <n v="3"/>
    <n v="0"/>
    <n v="0"/>
    <n v="1"/>
    <n v="4"/>
    <n v="1"/>
    <s v="Problem Solving (Basic)"/>
    <n v="34"/>
    <n v="2496175"/>
    <n v="29"/>
    <n v="60"/>
    <n v="64"/>
    <s v="23mh1a05n0@aect.dummy.in"/>
  </r>
  <r>
    <x v="276"/>
    <x v="1"/>
    <x v="2"/>
    <n v="2"/>
    <n v="0"/>
    <n v="0"/>
    <n v="0"/>
    <n v="1"/>
    <n v="2"/>
    <n v="2"/>
    <s v="SQL (Intermediate),SQL (Basic)"/>
    <n v="29"/>
    <n v="2731933"/>
    <n v="2"/>
    <n v="0"/>
    <n v="61"/>
    <s v="23mh1a05n3@aect.dummy.in"/>
  </r>
  <r>
    <x v="277"/>
    <x v="1"/>
    <x v="2"/>
    <n v="0"/>
    <n v="0"/>
    <n v="0"/>
    <n v="0"/>
    <n v="0"/>
    <n v="1"/>
    <n v="0"/>
    <s v="Null"/>
    <n v="0"/>
    <n v="5000001"/>
    <n v="0"/>
    <n v="0"/>
    <n v="0"/>
    <s v="23mh1a05n4@aect.dummy.in"/>
  </r>
  <r>
    <x v="278"/>
    <x v="1"/>
    <x v="2"/>
    <n v="0"/>
    <n v="0"/>
    <n v="0"/>
    <n v="0"/>
    <n v="0"/>
    <n v="0"/>
    <n v="0"/>
    <s v="Null"/>
    <n v="0"/>
    <n v="5000001"/>
    <n v="0"/>
    <n v="0"/>
    <n v="28"/>
    <s v="23mh1a05n5@aect.dummy.in"/>
  </r>
  <r>
    <x v="279"/>
    <x v="1"/>
    <x v="2"/>
    <n v="4"/>
    <n v="0"/>
    <n v="1"/>
    <n v="2"/>
    <n v="0"/>
    <n v="4"/>
    <n v="0"/>
    <s v="Null"/>
    <n v="2"/>
    <n v="5000001"/>
    <n v="0"/>
    <n v="0"/>
    <n v="30"/>
    <s v="23mh1a05n6@aect.dummy.in"/>
  </r>
  <r>
    <x v="280"/>
    <x v="1"/>
    <x v="2"/>
    <n v="3"/>
    <n v="0"/>
    <n v="1"/>
    <n v="3"/>
    <n v="1"/>
    <n v="5"/>
    <n v="0"/>
    <s v="Null"/>
    <n v="18"/>
    <n v="3463071"/>
    <n v="103"/>
    <n v="294"/>
    <n v="421"/>
    <s v="23mh1a05n8@aect.dummy.in"/>
  </r>
  <r>
    <x v="281"/>
    <x v="1"/>
    <x v="2"/>
    <n v="3"/>
    <n v="0"/>
    <n v="3"/>
    <n v="4"/>
    <n v="0"/>
    <n v="3"/>
    <n v="0"/>
    <s v="Null"/>
    <n v="9"/>
    <n v="4656435"/>
    <n v="84"/>
    <n v="262"/>
    <n v="67"/>
    <s v="23mh1a05o0@aect.dummy.in"/>
  </r>
  <r>
    <x v="282"/>
    <x v="1"/>
    <x v="2"/>
    <n v="4"/>
    <n v="0"/>
    <n v="0"/>
    <n v="0"/>
    <n v="0"/>
    <n v="1"/>
    <n v="0"/>
    <s v="Null"/>
    <n v="8"/>
    <n v="4859900"/>
    <n v="1"/>
    <n v="2"/>
    <n v="15"/>
    <s v="23mh1a05o1@aect.dummy.in"/>
  </r>
  <r>
    <x v="283"/>
    <x v="1"/>
    <x v="2"/>
    <n v="1"/>
    <n v="0"/>
    <n v="0"/>
    <n v="0"/>
    <n v="0"/>
    <n v="1"/>
    <n v="0"/>
    <s v="Null"/>
    <n v="0"/>
    <n v="5000001"/>
    <n v="0"/>
    <n v="0"/>
    <n v="0"/>
    <s v="23mh1a05o2@aect.dummy.in"/>
  </r>
  <r>
    <x v="284"/>
    <x v="1"/>
    <x v="2"/>
    <n v="3"/>
    <n v="0"/>
    <n v="0"/>
    <n v="4"/>
    <n v="4"/>
    <n v="3"/>
    <n v="2"/>
    <s v="SQL (Basic),SQL (Intermediate)"/>
    <n v="213"/>
    <n v="566420"/>
    <n v="115"/>
    <n v="295"/>
    <n v="181"/>
    <s v="23mh1a05o3@aect.dummy.in"/>
  </r>
  <r>
    <x v="285"/>
    <x v="1"/>
    <x v="2"/>
    <n v="0"/>
    <n v="0"/>
    <n v="0"/>
    <n v="0"/>
    <n v="0"/>
    <n v="0"/>
    <n v="0"/>
    <s v="Null"/>
    <n v="0"/>
    <n v="5000001"/>
    <n v="0"/>
    <n v="0"/>
    <n v="37"/>
    <s v="23mh1a05o5@aect.dummy.in"/>
  </r>
  <r>
    <x v="286"/>
    <x v="1"/>
    <x v="2"/>
    <n v="0"/>
    <n v="0"/>
    <n v="0"/>
    <n v="0"/>
    <n v="0"/>
    <n v="0"/>
    <n v="0"/>
    <s v="Null"/>
    <n v="0"/>
    <n v="5000001"/>
    <n v="0"/>
    <n v="0"/>
    <n v="0"/>
    <s v="23mh1a05o6@aect.dummy.in"/>
  </r>
  <r>
    <x v="287"/>
    <x v="1"/>
    <x v="2"/>
    <n v="3"/>
    <n v="0"/>
    <n v="0"/>
    <n v="0"/>
    <n v="0"/>
    <n v="1"/>
    <n v="0"/>
    <s v="Null"/>
    <n v="0"/>
    <n v="5000001"/>
    <n v="0"/>
    <n v="0"/>
    <n v="0"/>
    <s v="23mh1a05p3@aect.dummy.in"/>
  </r>
  <r>
    <x v="288"/>
    <x v="1"/>
    <x v="2"/>
    <n v="3"/>
    <n v="0"/>
    <n v="3"/>
    <n v="0"/>
    <n v="4"/>
    <n v="3"/>
    <n v="1"/>
    <s v="SQL (Basic)"/>
    <n v="7"/>
    <n v="5000001"/>
    <n v="0"/>
    <n v="0"/>
    <n v="11"/>
    <s v="23mh1a05p4@aect.dummy.in"/>
  </r>
  <r>
    <x v="289"/>
    <x v="1"/>
    <x v="2"/>
    <n v="0"/>
    <n v="0"/>
    <n v="0"/>
    <n v="0"/>
    <n v="0"/>
    <n v="0"/>
    <n v="0"/>
    <s v="Null"/>
    <n v="0"/>
    <n v="5000001"/>
    <n v="0"/>
    <n v="0"/>
    <n v="0"/>
    <s v="23mh1a05p9@aect.dummy.in"/>
  </r>
  <r>
    <x v="290"/>
    <x v="1"/>
    <x v="2"/>
    <n v="0"/>
    <n v="0"/>
    <n v="0"/>
    <n v="0"/>
    <n v="0"/>
    <n v="0"/>
    <n v="0"/>
    <s v="Null"/>
    <n v="0"/>
    <n v="5000001"/>
    <n v="0"/>
    <n v="0"/>
    <n v="0"/>
    <s v="23mh1a05q8@aect.dummy.in"/>
  </r>
  <r>
    <x v="291"/>
    <x v="1"/>
    <x v="2"/>
    <n v="0"/>
    <n v="0"/>
    <n v="0"/>
    <n v="0"/>
    <n v="0"/>
    <n v="0"/>
    <n v="0"/>
    <s v="Null"/>
    <n v="1"/>
    <n v="5000001"/>
    <n v="0"/>
    <n v="0"/>
    <n v="116"/>
    <s v="23mh1a05r1@aect.dummy.in"/>
  </r>
  <r>
    <x v="292"/>
    <x v="1"/>
    <x v="2"/>
    <n v="0"/>
    <n v="0"/>
    <n v="0"/>
    <n v="0"/>
    <n v="2"/>
    <n v="1"/>
    <n v="1"/>
    <s v="SQL (Intermediate)"/>
    <n v="59"/>
    <n v="1775200"/>
    <n v="1"/>
    <n v="0"/>
    <n v="652"/>
    <s v="23mh1a05r5@aect.dummy.in"/>
  </r>
  <r>
    <x v="293"/>
    <x v="1"/>
    <x v="2"/>
    <n v="0"/>
    <n v="0"/>
    <n v="0"/>
    <n v="0"/>
    <n v="4"/>
    <n v="1"/>
    <n v="1"/>
    <s v="SQL (Basic)"/>
    <n v="6"/>
    <n v="5000001"/>
    <n v="0"/>
    <n v="0"/>
    <n v="194"/>
    <s v="23mh1a05s5@aect.dummy.in"/>
  </r>
  <r>
    <x v="294"/>
    <x v="1"/>
    <x v="2"/>
    <n v="0"/>
    <n v="0"/>
    <n v="0"/>
    <n v="0"/>
    <n v="0"/>
    <n v="0"/>
    <n v="0"/>
    <s v="Null"/>
    <n v="0"/>
    <n v="5000001"/>
    <n v="0"/>
    <n v="0"/>
    <n v="0"/>
    <s v="23mh1a1201@aect.dummy.in"/>
  </r>
  <r>
    <x v="295"/>
    <x v="1"/>
    <x v="2"/>
    <n v="0"/>
    <n v="0"/>
    <n v="2"/>
    <n v="1"/>
    <n v="3"/>
    <n v="4"/>
    <n v="2"/>
    <s v="SQL (Basic),SQL (Intermediate)"/>
    <n v="42"/>
    <n v="2208799"/>
    <n v="0"/>
    <n v="0"/>
    <n v="135"/>
    <s v="23mh1a1220@aect.dummy.in"/>
  </r>
  <r>
    <x v="296"/>
    <x v="1"/>
    <x v="2"/>
    <n v="0"/>
    <n v="0"/>
    <n v="0"/>
    <n v="2"/>
    <n v="0"/>
    <n v="1"/>
    <n v="0"/>
    <s v="Null"/>
    <n v="4"/>
    <n v="5000001"/>
    <n v="8"/>
    <n v="15"/>
    <n v="234"/>
    <s v="23mh1a1227@aect.dummy.in"/>
  </r>
  <r>
    <x v="297"/>
    <x v="1"/>
    <x v="2"/>
    <n v="0"/>
    <n v="0"/>
    <n v="3"/>
    <n v="0"/>
    <n v="0"/>
    <n v="1"/>
    <n v="0"/>
    <s v="Null"/>
    <n v="34"/>
    <n v="2500747"/>
    <n v="1"/>
    <n v="0"/>
    <n v="182"/>
    <s v="23mh1a1241@aect.dummy.in"/>
  </r>
  <r>
    <x v="298"/>
    <x v="1"/>
    <x v="2"/>
    <n v="5"/>
    <n v="0"/>
    <n v="2"/>
    <n v="3"/>
    <n v="5"/>
    <n v="5"/>
    <n v="4"/>
    <s v="Java (Basic),Python (Basic),SQL (Basic),SQL (Intermediate)"/>
    <n v="137"/>
    <n v="912242"/>
    <n v="98"/>
    <n v="371"/>
    <n v="668"/>
    <s v="23mh1a1242@aect.dummy.in"/>
  </r>
  <r>
    <x v="299"/>
    <x v="1"/>
    <x v="2"/>
    <n v="0"/>
    <n v="0"/>
    <n v="0"/>
    <n v="0"/>
    <n v="0"/>
    <n v="0"/>
    <n v="1"/>
    <s v="Python (Basic)"/>
    <n v="0"/>
    <n v="5000001"/>
    <n v="0"/>
    <n v="0"/>
    <n v="0"/>
    <s v="23mh1a1249@aect.dummy.in"/>
  </r>
  <r>
    <x v="300"/>
    <x v="1"/>
    <x v="2"/>
    <n v="2"/>
    <n v="0"/>
    <n v="1"/>
    <n v="0"/>
    <n v="5"/>
    <n v="3"/>
    <n v="3"/>
    <s v="Python (Basic),SQL (Basic),SQL (Intermediate)"/>
    <n v="59"/>
    <n v="1775969"/>
    <n v="71"/>
    <n v="91"/>
    <n v="129"/>
    <s v="23mh1a1252@aect.dummy.in"/>
  </r>
  <r>
    <x v="301"/>
    <x v="1"/>
    <x v="2"/>
    <n v="0"/>
    <n v="0"/>
    <n v="0"/>
    <n v="0"/>
    <n v="3"/>
    <n v="1"/>
    <n v="1"/>
    <s v="SQL (Basic)"/>
    <n v="6"/>
    <n v="5000001"/>
    <n v="0"/>
    <n v="0"/>
    <n v="0"/>
    <s v="23mh1a1254@aect.dummy.in"/>
  </r>
  <r>
    <x v="302"/>
    <x v="1"/>
    <x v="2"/>
    <n v="3"/>
    <n v="0"/>
    <n v="2"/>
    <n v="2"/>
    <n v="4"/>
    <n v="5"/>
    <n v="4"/>
    <s v="SQL (Basic),Python (Basic),SQL (Intermediate),SQL (Advanced)"/>
    <n v="65"/>
    <n v="1660917"/>
    <n v="3"/>
    <n v="6"/>
    <n v="142"/>
    <s v="23mh1a4206@aect.dummy.in"/>
  </r>
  <r>
    <x v="303"/>
    <x v="1"/>
    <x v="2"/>
    <n v="0"/>
    <n v="0"/>
    <n v="2"/>
    <n v="3"/>
    <n v="4"/>
    <n v="4"/>
    <n v="1"/>
    <s v="SQL (Basic)"/>
    <n v="65"/>
    <n v="1661830"/>
    <n v="0"/>
    <n v="0"/>
    <n v="328"/>
    <s v="23mh1a4207@aect.dummy.in"/>
  </r>
  <r>
    <x v="304"/>
    <x v="1"/>
    <x v="2"/>
    <n v="0"/>
    <n v="0"/>
    <n v="0"/>
    <n v="1"/>
    <n v="5"/>
    <n v="2"/>
    <n v="1"/>
    <s v="SQL (Basic)"/>
    <n v="55"/>
    <n v="1857743"/>
    <n v="9"/>
    <n v="16"/>
    <n v="92"/>
    <s v="23mh1a4209@aect.dummy.in"/>
  </r>
  <r>
    <x v="305"/>
    <x v="1"/>
    <x v="2"/>
    <n v="5"/>
    <n v="0"/>
    <n v="5"/>
    <n v="5"/>
    <n v="0"/>
    <n v="4"/>
    <n v="1"/>
    <s v="SQL (Basic)"/>
    <n v="164"/>
    <n v="760157"/>
    <n v="80"/>
    <n v="267"/>
    <n v="22"/>
    <s v="23mh1a4216@aect.dummy.in"/>
  </r>
  <r>
    <x v="306"/>
    <x v="1"/>
    <x v="2"/>
    <n v="3"/>
    <n v="0"/>
    <n v="0"/>
    <n v="0"/>
    <n v="2"/>
    <n v="2"/>
    <n v="2"/>
    <s v="SQL (Basic),SQL (Intermediate)"/>
    <n v="52"/>
    <n v="1928477"/>
    <n v="1"/>
    <n v="0"/>
    <n v="120"/>
    <s v="23mh1a4217@aect.dummy.in"/>
  </r>
  <r>
    <x v="307"/>
    <x v="1"/>
    <x v="2"/>
    <n v="0"/>
    <n v="0"/>
    <n v="0"/>
    <n v="0"/>
    <n v="2"/>
    <n v="1"/>
    <n v="1"/>
    <s v="SQL (Basic)"/>
    <n v="23"/>
    <n v="3071864"/>
    <n v="1"/>
    <n v="2"/>
    <n v="0"/>
    <s v="23mh1a4218@aect.dummy.in"/>
  </r>
  <r>
    <x v="308"/>
    <x v="1"/>
    <x v="2"/>
    <n v="4"/>
    <n v="0"/>
    <n v="3"/>
    <n v="3"/>
    <n v="4"/>
    <n v="5"/>
    <n v="1"/>
    <s v="SQL (Basic)"/>
    <n v="96"/>
    <n v="1246779"/>
    <n v="38"/>
    <n v="60"/>
    <n v="510"/>
    <s v="23mh1a4224@aect.dummy.in"/>
  </r>
  <r>
    <x v="309"/>
    <x v="1"/>
    <x v="2"/>
    <n v="2"/>
    <n v="0"/>
    <n v="0"/>
    <n v="2"/>
    <n v="5"/>
    <n v="4"/>
    <n v="1"/>
    <s v="SQL (Intermediate)"/>
    <n v="131"/>
    <n v="951927"/>
    <n v="8"/>
    <n v="36"/>
    <n v="109"/>
    <s v="23mh1a4225@aect.dummy.in"/>
  </r>
  <r>
    <x v="310"/>
    <x v="1"/>
    <x v="3"/>
    <n v="0"/>
    <n v="0"/>
    <n v="0"/>
    <n v="0"/>
    <n v="0"/>
    <n v="0"/>
    <n v="0"/>
    <s v="Null"/>
    <n v="1"/>
    <n v="5000001"/>
    <n v="0"/>
    <n v="0"/>
    <n v="625"/>
    <s v="23mh1a4226@aect.dummy.in"/>
  </r>
  <r>
    <x v="311"/>
    <x v="1"/>
    <x v="3"/>
    <n v="4"/>
    <n v="0"/>
    <n v="0"/>
    <n v="0"/>
    <n v="4"/>
    <n v="3"/>
    <n v="2"/>
    <s v="SQL (Basic),SQL (Intermediate)"/>
    <n v="253"/>
    <n v="454589"/>
    <n v="315"/>
    <n v="949"/>
    <n v="494"/>
    <s v="23mh1a4227@aect.dummy.in"/>
  </r>
  <r>
    <x v="312"/>
    <x v="1"/>
    <x v="3"/>
    <n v="3"/>
    <n v="3"/>
    <n v="1"/>
    <n v="1"/>
    <n v="5"/>
    <n v="6"/>
    <n v="2"/>
    <s v="SQL (Basic),SQL (Intermediate)"/>
    <n v="263"/>
    <n v="431448"/>
    <n v="223"/>
    <n v="365"/>
    <n v="464"/>
    <s v="23mh1a4228@aect.dummy.in"/>
  </r>
  <r>
    <x v="313"/>
    <x v="1"/>
    <x v="3"/>
    <n v="0"/>
    <n v="0"/>
    <n v="0"/>
    <n v="0"/>
    <n v="0"/>
    <n v="0"/>
    <n v="0"/>
    <s v="Null"/>
    <n v="56"/>
    <n v="1836617"/>
    <n v="1"/>
    <n v="2"/>
    <n v="222"/>
    <s v="23mh1a4229@aect.dummy.in"/>
  </r>
  <r>
    <x v="314"/>
    <x v="1"/>
    <x v="3"/>
    <n v="2"/>
    <n v="0"/>
    <n v="4"/>
    <n v="2"/>
    <n v="5"/>
    <n v="5"/>
    <n v="1"/>
    <s v="SQL (Basic)"/>
    <n v="53"/>
    <n v="1904265"/>
    <n v="2"/>
    <n v="1"/>
    <n v="286"/>
    <s v="23mh1a4234@aect.dummy.in"/>
  </r>
  <r>
    <x v="315"/>
    <x v="1"/>
    <x v="3"/>
    <n v="5"/>
    <n v="0"/>
    <n v="4"/>
    <n v="0"/>
    <n v="0"/>
    <n v="3"/>
    <n v="1"/>
    <s v="SQL (Basic)"/>
    <n v="122"/>
    <n v="1016019"/>
    <n v="75"/>
    <n v="257"/>
    <n v="0"/>
    <s v="23mh1a4235@aect.dummy.in"/>
  </r>
  <r>
    <x v="316"/>
    <x v="1"/>
    <x v="3"/>
    <n v="5"/>
    <n v="0"/>
    <n v="5"/>
    <n v="5"/>
    <n v="5"/>
    <n v="5"/>
    <n v="1"/>
    <s v="SQL (Basic)"/>
    <n v="302"/>
    <n v="355303"/>
    <n v="0"/>
    <n v="0"/>
    <n v="157"/>
    <s v="23mh1a4236@aect.dummy.in"/>
  </r>
  <r>
    <x v="317"/>
    <x v="1"/>
    <x v="3"/>
    <n v="0"/>
    <n v="0"/>
    <n v="0"/>
    <n v="0"/>
    <n v="3"/>
    <n v="2"/>
    <n v="2"/>
    <s v="SQL (Basic),SQL (Intermediate)"/>
    <n v="29"/>
    <n v="2726715"/>
    <n v="0"/>
    <n v="0"/>
    <n v="166"/>
    <s v="23mh1a4238@aect.dummy.in"/>
  </r>
  <r>
    <x v="318"/>
    <x v="1"/>
    <x v="3"/>
    <n v="4"/>
    <n v="0"/>
    <n v="2"/>
    <n v="1"/>
    <n v="4"/>
    <n v="4"/>
    <n v="0"/>
    <s v="Null"/>
    <n v="18"/>
    <n v="3457485"/>
    <n v="1"/>
    <n v="0"/>
    <n v="132"/>
    <s v="23mh1a4243@aect.dummy.in"/>
  </r>
  <r>
    <x v="319"/>
    <x v="1"/>
    <x v="3"/>
    <n v="0"/>
    <n v="0"/>
    <n v="0"/>
    <n v="0"/>
    <n v="3"/>
    <n v="1"/>
    <n v="2"/>
    <s v="SQL (Basic),SQL (Intermediate)"/>
    <n v="4"/>
    <n v="5000001"/>
    <n v="0"/>
    <n v="0"/>
    <n v="2"/>
    <s v="23mh1a4244@aect.dummy.in"/>
  </r>
  <r>
    <x v="320"/>
    <x v="1"/>
    <x v="3"/>
    <n v="3"/>
    <n v="0"/>
    <n v="0"/>
    <n v="2"/>
    <n v="3"/>
    <n v="3"/>
    <n v="2"/>
    <s v="SQL (Basic),SQL (Intermediate)"/>
    <n v="266"/>
    <n v="424724"/>
    <n v="150"/>
    <n v="418"/>
    <n v="205"/>
    <s v="23mh1a4249@aect.dummy.in"/>
  </r>
  <r>
    <x v="321"/>
    <x v="1"/>
    <x v="3"/>
    <n v="0"/>
    <n v="0"/>
    <n v="2"/>
    <n v="0"/>
    <n v="0"/>
    <n v="2"/>
    <n v="0"/>
    <s v="Null"/>
    <n v="29"/>
    <n v="2727006"/>
    <n v="14"/>
    <n v="20"/>
    <n v="612"/>
    <s v="23mh1a4250@aect.dummy.in"/>
  </r>
  <r>
    <x v="322"/>
    <x v="1"/>
    <x v="3"/>
    <n v="0"/>
    <n v="0"/>
    <n v="0"/>
    <n v="0"/>
    <n v="0"/>
    <n v="0"/>
    <n v="0"/>
    <s v="Null"/>
    <n v="2"/>
    <n v="5000001"/>
    <n v="0"/>
    <n v="0"/>
    <n v="561"/>
    <s v="23mh1a4255@aect.dummy.in"/>
  </r>
  <r>
    <x v="323"/>
    <x v="1"/>
    <x v="3"/>
    <n v="0"/>
    <n v="0"/>
    <n v="0"/>
    <n v="0"/>
    <n v="4"/>
    <n v="1"/>
    <n v="1"/>
    <s v="SQL (Basic)"/>
    <n v="6"/>
    <n v="5000001"/>
    <n v="0"/>
    <n v="0"/>
    <n v="174"/>
    <s v="23mh1a4260@aect.dummy.in"/>
  </r>
  <r>
    <x v="324"/>
    <x v="1"/>
    <x v="3"/>
    <n v="2"/>
    <n v="0"/>
    <n v="0"/>
    <n v="2"/>
    <n v="5"/>
    <n v="4"/>
    <n v="1"/>
    <s v="SQL (Basic)"/>
    <n v="56"/>
    <n v="1836473"/>
    <n v="1"/>
    <n v="2"/>
    <n v="158"/>
    <s v="23mh1a4261@aect.dummy.in"/>
  </r>
  <r>
    <x v="325"/>
    <x v="1"/>
    <x v="3"/>
    <n v="5"/>
    <n v="0"/>
    <n v="4"/>
    <n v="3"/>
    <n v="1"/>
    <n v="5"/>
    <n v="4"/>
    <s v="Java (Basic),Python (Basic),SQL (Basic),SQL (Intermediate)"/>
    <n v="182"/>
    <n v="679757"/>
    <n v="87"/>
    <n v="289"/>
    <n v="671"/>
    <s v="23mh1a4265@aect.dummy.in"/>
  </r>
  <r>
    <x v="326"/>
    <x v="1"/>
    <x v="3"/>
    <n v="0"/>
    <n v="0"/>
    <n v="0"/>
    <n v="0"/>
    <n v="5"/>
    <n v="1"/>
    <n v="1"/>
    <s v="SQL (Basic)"/>
    <n v="14"/>
    <n v="3885735"/>
    <n v="2"/>
    <n v="3"/>
    <n v="66"/>
    <s v="23mh1a4266@aect.dummy.in"/>
  </r>
  <r>
    <x v="327"/>
    <x v="1"/>
    <x v="3"/>
    <n v="0"/>
    <n v="0"/>
    <n v="0"/>
    <n v="1"/>
    <n v="4"/>
    <n v="2"/>
    <n v="1"/>
    <s v="SQL (Basic)"/>
    <n v="31"/>
    <n v="2628668"/>
    <n v="0"/>
    <n v="0"/>
    <n v="206"/>
    <s v="23mh1a4268@aect.dummy.in"/>
  </r>
  <r>
    <x v="328"/>
    <x v="1"/>
    <x v="3"/>
    <n v="0"/>
    <n v="0"/>
    <n v="0"/>
    <n v="0"/>
    <n v="5"/>
    <n v="2"/>
    <n v="1"/>
    <s v="SQL (Basic)"/>
    <n v="5"/>
    <n v="5000001"/>
    <n v="0"/>
    <n v="0"/>
    <n v="10"/>
    <s v="23mh1a4269@aect.dummy.in"/>
  </r>
  <r>
    <x v="329"/>
    <x v="1"/>
    <x v="3"/>
    <n v="0"/>
    <n v="1"/>
    <n v="0"/>
    <n v="1"/>
    <n v="0"/>
    <n v="3"/>
    <n v="0"/>
    <s v="Null"/>
    <n v="0"/>
    <n v="5000001"/>
    <n v="3"/>
    <n v="5"/>
    <n v="35"/>
    <s v="23mh1a4270@aect.dummy.in"/>
  </r>
  <r>
    <x v="330"/>
    <x v="1"/>
    <x v="3"/>
    <n v="0"/>
    <n v="0"/>
    <n v="0"/>
    <n v="1"/>
    <n v="2"/>
    <n v="3"/>
    <n v="2"/>
    <s v="SQL (Basic),SQL (Intermediate)"/>
    <n v="19"/>
    <n v="3378024"/>
    <n v="0"/>
    <n v="0"/>
    <n v="43"/>
    <s v="23mh1a4271@aect.dummy.in"/>
  </r>
  <r>
    <x v="331"/>
    <x v="1"/>
    <x v="3"/>
    <n v="0"/>
    <n v="0"/>
    <n v="0"/>
    <n v="0"/>
    <n v="0"/>
    <n v="0"/>
    <n v="0"/>
    <s v="Null"/>
    <n v="0"/>
    <n v="5000001"/>
    <n v="0"/>
    <n v="0"/>
    <n v="0"/>
    <s v="23mh1a4273@aect.dummy.in"/>
  </r>
  <r>
    <x v="332"/>
    <x v="1"/>
    <x v="3"/>
    <n v="0"/>
    <n v="0"/>
    <n v="0"/>
    <n v="0"/>
    <n v="1"/>
    <n v="1"/>
    <n v="0"/>
    <s v="Null"/>
    <n v="0"/>
    <n v="5000001"/>
    <n v="0"/>
    <n v="0"/>
    <n v="0"/>
    <s v="23mh1a4275@aect.dummy.in"/>
  </r>
  <r>
    <x v="333"/>
    <x v="1"/>
    <x v="3"/>
    <n v="0"/>
    <n v="0"/>
    <n v="0"/>
    <n v="0"/>
    <n v="0"/>
    <n v="0"/>
    <n v="0"/>
    <s v="Null"/>
    <n v="171"/>
    <n v="726997"/>
    <n v="5"/>
    <n v="14"/>
    <n v="140"/>
    <s v="23mh1a4291@aect.dummy.in"/>
  </r>
  <r>
    <x v="334"/>
    <x v="1"/>
    <x v="3"/>
    <n v="0"/>
    <n v="0"/>
    <n v="0"/>
    <n v="0"/>
    <n v="0"/>
    <n v="0"/>
    <n v="0"/>
    <s v="Null"/>
    <n v="26"/>
    <n v="2889910"/>
    <n v="0"/>
    <n v="0"/>
    <n v="205"/>
    <s v="23mh1a42a1@aect.dummy.in"/>
  </r>
  <r>
    <x v="335"/>
    <x v="1"/>
    <x v="3"/>
    <n v="0"/>
    <n v="0"/>
    <n v="0"/>
    <n v="0"/>
    <n v="0"/>
    <n v="0"/>
    <n v="0"/>
    <s v="Null"/>
    <n v="0"/>
    <n v="5000001"/>
    <n v="0"/>
    <n v="0"/>
    <n v="12"/>
    <s v="23mh1a42a4@aect.dummy.in"/>
  </r>
  <r>
    <x v="336"/>
    <x v="1"/>
    <x v="3"/>
    <n v="0"/>
    <n v="1"/>
    <n v="1"/>
    <n v="2"/>
    <n v="0"/>
    <n v="3"/>
    <n v="3"/>
    <s v="SQL (Basic),Python (Basic),Java (Basic)"/>
    <n v="35"/>
    <n v="2457458"/>
    <n v="54"/>
    <n v="81"/>
    <n v="320"/>
    <s v="23mh1a42b1@aect.dummy.in"/>
  </r>
  <r>
    <x v="337"/>
    <x v="1"/>
    <x v="3"/>
    <n v="0"/>
    <n v="0"/>
    <n v="0"/>
    <n v="0"/>
    <n v="0"/>
    <n v="0"/>
    <n v="2"/>
    <s v="Java (Basic),SQL (Intermediate)"/>
    <n v="5"/>
    <n v="5000001"/>
    <n v="25"/>
    <n v="36"/>
    <n v="79"/>
    <s v="23mh1a42b2@aect.dummy.in"/>
  </r>
  <r>
    <x v="338"/>
    <x v="1"/>
    <x v="3"/>
    <n v="0"/>
    <n v="0"/>
    <n v="0"/>
    <n v="0"/>
    <n v="0"/>
    <n v="0"/>
    <n v="0"/>
    <s v="Null"/>
    <n v="0"/>
    <n v="5000001"/>
    <n v="0"/>
    <n v="0"/>
    <n v="0"/>
    <s v="23mh1a42b9@aect.dummy.in"/>
  </r>
  <r>
    <x v="339"/>
    <x v="1"/>
    <x v="3"/>
    <n v="0"/>
    <n v="0"/>
    <n v="0"/>
    <n v="0"/>
    <n v="0"/>
    <n v="0"/>
    <n v="0"/>
    <s v="Null"/>
    <n v="0"/>
    <n v="5000001"/>
    <n v="0"/>
    <n v="0"/>
    <n v="0"/>
    <s v="23mh1a42c9@aect.dummy.in"/>
  </r>
  <r>
    <x v="340"/>
    <x v="1"/>
    <x v="3"/>
    <n v="0"/>
    <n v="0"/>
    <n v="0"/>
    <n v="0"/>
    <n v="0"/>
    <n v="0"/>
    <n v="0"/>
    <s v="Null"/>
    <n v="2"/>
    <n v="5000001"/>
    <n v="0"/>
    <n v="0"/>
    <n v="58"/>
    <s v="23mh1a42d3@aect.dummy.in"/>
  </r>
  <r>
    <x v="341"/>
    <x v="1"/>
    <x v="3"/>
    <n v="2"/>
    <n v="0"/>
    <n v="0"/>
    <n v="0"/>
    <n v="0"/>
    <n v="1"/>
    <n v="0"/>
    <s v="Null"/>
    <n v="0"/>
    <n v="5000001"/>
    <n v="1"/>
    <n v="0"/>
    <n v="0"/>
    <s v="23mh1a42f8@aect.dummy.in"/>
  </r>
  <r>
    <x v="342"/>
    <x v="1"/>
    <x v="3"/>
    <n v="1"/>
    <n v="0"/>
    <n v="1"/>
    <n v="0"/>
    <n v="0"/>
    <n v="2"/>
    <n v="2"/>
    <s v="SQL (Basic),Java (Basic)"/>
    <n v="0"/>
    <n v="5000001"/>
    <n v="1"/>
    <n v="0"/>
    <n v="625"/>
    <s v="23mh1a42g7@aect.dummy.in"/>
  </r>
  <r>
    <x v="343"/>
    <x v="1"/>
    <x v="3"/>
    <n v="1"/>
    <n v="0"/>
    <n v="0"/>
    <n v="0"/>
    <n v="0"/>
    <n v="1"/>
    <n v="1"/>
    <s v="SQL (Basic)"/>
    <n v="2"/>
    <n v="5000001"/>
    <n v="0"/>
    <n v="0"/>
    <n v="0"/>
    <s v="23mh1a42i9@aect.dummy.in"/>
  </r>
  <r>
    <x v="344"/>
    <x v="1"/>
    <x v="3"/>
    <n v="0"/>
    <n v="0"/>
    <n v="0"/>
    <n v="2"/>
    <n v="0"/>
    <n v="1"/>
    <n v="1"/>
    <s v="Python (Basic)"/>
    <n v="0"/>
    <n v="5000001"/>
    <n v="0"/>
    <n v="0"/>
    <n v="0"/>
    <s v="23mh1a42j0@aect.dummy.in"/>
  </r>
  <r>
    <x v="345"/>
    <x v="1"/>
    <x v="3"/>
    <n v="0"/>
    <n v="0"/>
    <n v="0"/>
    <n v="0"/>
    <n v="0"/>
    <n v="0"/>
    <n v="0"/>
    <s v="Null"/>
    <n v="0"/>
    <n v="5000001"/>
    <n v="0"/>
    <n v="0"/>
    <n v="0"/>
    <s v="23mh1a4404@aect.dummy.in"/>
  </r>
  <r>
    <x v="346"/>
    <x v="1"/>
    <x v="3"/>
    <n v="2"/>
    <n v="0"/>
    <n v="0"/>
    <n v="1"/>
    <n v="0"/>
    <n v="2"/>
    <n v="0"/>
    <s v="Null"/>
    <n v="0"/>
    <n v="5000001"/>
    <n v="0"/>
    <n v="0"/>
    <n v="105"/>
    <s v="23mh1a4406@aect.dummy.in"/>
  </r>
  <r>
    <x v="347"/>
    <x v="1"/>
    <x v="3"/>
    <n v="0"/>
    <n v="0"/>
    <n v="0"/>
    <n v="0"/>
    <n v="1"/>
    <n v="1"/>
    <n v="0"/>
    <s v="Null"/>
    <n v="3"/>
    <n v="5000001"/>
    <n v="6"/>
    <n v="13"/>
    <n v="0"/>
    <s v="23mh1a4409@aect.dummy.in"/>
  </r>
  <r>
    <x v="348"/>
    <x v="1"/>
    <x v="3"/>
    <n v="5"/>
    <n v="2"/>
    <n v="2"/>
    <n v="2"/>
    <n v="0"/>
    <n v="5"/>
    <n v="1"/>
    <s v="SQL (Basic)"/>
    <n v="390"/>
    <n v="235667"/>
    <n v="272"/>
    <n v="569"/>
    <n v="483"/>
    <s v="23mh1a4413@aect.dummy.in"/>
  </r>
  <r>
    <x v="349"/>
    <x v="1"/>
    <x v="3"/>
    <n v="0"/>
    <n v="0"/>
    <n v="0"/>
    <n v="0"/>
    <n v="0"/>
    <n v="0"/>
    <n v="0"/>
    <s v="Null"/>
    <n v="119"/>
    <n v="1038393"/>
    <n v="125"/>
    <n v="300"/>
    <n v="208"/>
    <s v="23mh1a4416@aect.dummy.in"/>
  </r>
  <r>
    <x v="350"/>
    <x v="1"/>
    <x v="3"/>
    <n v="0"/>
    <n v="0"/>
    <n v="0"/>
    <n v="0"/>
    <n v="0"/>
    <n v="0"/>
    <n v="0"/>
    <s v="Null"/>
    <n v="0"/>
    <n v="5000001"/>
    <n v="9"/>
    <n v="11"/>
    <n v="0"/>
    <s v="23mh1a4420@aect.dummy.in"/>
  </r>
  <r>
    <x v="351"/>
    <x v="1"/>
    <x v="3"/>
    <n v="0"/>
    <n v="0"/>
    <n v="0"/>
    <n v="0"/>
    <n v="0"/>
    <n v="0"/>
    <n v="0"/>
    <s v="Null"/>
    <n v="0"/>
    <n v="5000001"/>
    <n v="0"/>
    <n v="0"/>
    <n v="0"/>
    <s v="23mh1a4426@aect.dummy.in"/>
  </r>
  <r>
    <x v="352"/>
    <x v="1"/>
    <x v="3"/>
    <n v="0"/>
    <n v="0"/>
    <n v="0"/>
    <n v="0"/>
    <n v="0"/>
    <n v="0"/>
    <n v="0"/>
    <s v="Null"/>
    <n v="0"/>
    <n v="5000001"/>
    <n v="0"/>
    <n v="0"/>
    <n v="0"/>
    <s v="23mh1a4432@aect.dummy.in"/>
  </r>
  <r>
    <x v="353"/>
    <x v="1"/>
    <x v="3"/>
    <n v="1"/>
    <n v="0"/>
    <n v="0"/>
    <n v="0"/>
    <n v="0"/>
    <n v="1"/>
    <n v="0"/>
    <s v="Null"/>
    <n v="29"/>
    <n v="2729538"/>
    <n v="6"/>
    <n v="18"/>
    <n v="69"/>
    <s v="23mh1a4433@aect.dummy.in"/>
  </r>
  <r>
    <x v="354"/>
    <x v="1"/>
    <x v="3"/>
    <n v="0"/>
    <n v="0"/>
    <n v="0"/>
    <n v="2"/>
    <n v="0"/>
    <n v="1"/>
    <n v="1"/>
    <s v="SQL (Basic)"/>
    <n v="0"/>
    <n v="5000001"/>
    <n v="0"/>
    <n v="0"/>
    <n v="0"/>
    <s v="23mh1a4434@aect.dummy.in"/>
  </r>
  <r>
    <x v="355"/>
    <x v="1"/>
    <x v="3"/>
    <n v="3"/>
    <n v="1"/>
    <n v="4"/>
    <n v="3"/>
    <n v="2"/>
    <n v="6"/>
    <n v="0"/>
    <s v="Null"/>
    <n v="251"/>
    <n v="459600"/>
    <n v="210"/>
    <n v="561"/>
    <n v="290"/>
    <s v="23mh1a4435@aect.dummy.in"/>
  </r>
  <r>
    <x v="356"/>
    <x v="1"/>
    <x v="3"/>
    <n v="0"/>
    <n v="0"/>
    <n v="0"/>
    <n v="0"/>
    <n v="0"/>
    <n v="0"/>
    <n v="0"/>
    <s v="Null"/>
    <n v="0"/>
    <n v="5000001"/>
    <n v="0"/>
    <n v="0"/>
    <n v="0"/>
    <s v="23mh1a4453@aect.dummy.in"/>
  </r>
  <r>
    <x v="357"/>
    <x v="1"/>
    <x v="3"/>
    <n v="0"/>
    <n v="0"/>
    <n v="1"/>
    <n v="0"/>
    <n v="0"/>
    <n v="1"/>
    <n v="0"/>
    <s v="Null"/>
    <n v="0"/>
    <n v="5000001"/>
    <n v="0"/>
    <n v="0"/>
    <n v="122"/>
    <s v="23mh1a4461@aect.dummy.in"/>
  </r>
  <r>
    <x v="358"/>
    <x v="1"/>
    <x v="3"/>
    <n v="0"/>
    <n v="0"/>
    <n v="0"/>
    <n v="3"/>
    <n v="0"/>
    <n v="1"/>
    <n v="0"/>
    <s v="Null"/>
    <n v="0"/>
    <n v="5000001"/>
    <n v="2"/>
    <n v="4"/>
    <n v="84"/>
    <s v="23mh1a4462@aect.dummy.in"/>
  </r>
  <r>
    <x v="359"/>
    <x v="1"/>
    <x v="3"/>
    <n v="0"/>
    <n v="0"/>
    <n v="0"/>
    <n v="0"/>
    <n v="0"/>
    <n v="0"/>
    <n v="0"/>
    <s v="Null"/>
    <n v="0"/>
    <n v="5000001"/>
    <n v="0"/>
    <n v="0"/>
    <n v="0"/>
    <s v="23mh1a4463@aect.dummy.in"/>
  </r>
  <r>
    <x v="360"/>
    <x v="1"/>
    <x v="3"/>
    <n v="0"/>
    <n v="0"/>
    <n v="0"/>
    <n v="2"/>
    <n v="0"/>
    <n v="1"/>
    <n v="0"/>
    <s v="Null"/>
    <n v="1"/>
    <n v="5000001"/>
    <n v="67"/>
    <n v="233"/>
    <n v="449"/>
    <s v="23mh1a4464@aect.dummy.in"/>
  </r>
  <r>
    <x v="361"/>
    <x v="1"/>
    <x v="3"/>
    <n v="1"/>
    <n v="0"/>
    <n v="3"/>
    <n v="4"/>
    <n v="0"/>
    <n v="3"/>
    <n v="0"/>
    <s v="Null"/>
    <n v="5"/>
    <n v="5000001"/>
    <n v="13"/>
    <n v="19"/>
    <n v="186"/>
    <s v="23mh1a4465@aect.dummy.in"/>
  </r>
  <r>
    <x v="362"/>
    <x v="1"/>
    <x v="3"/>
    <n v="5"/>
    <n v="1"/>
    <n v="3"/>
    <n v="3"/>
    <n v="3"/>
    <n v="6"/>
    <n v="0"/>
    <s v="Null"/>
    <n v="122"/>
    <n v="1015971"/>
    <n v="107"/>
    <n v="221"/>
    <n v="338"/>
    <s v="23mh1a4901@aect.dummy.in"/>
  </r>
  <r>
    <x v="363"/>
    <x v="1"/>
    <x v="3"/>
    <n v="0"/>
    <n v="0"/>
    <n v="0"/>
    <n v="0"/>
    <n v="0"/>
    <n v="0"/>
    <n v="0"/>
    <s v="Null"/>
    <n v="32"/>
    <n v="2585173"/>
    <n v="10"/>
    <n v="32"/>
    <n v="47"/>
    <s v="23mh1a4905@aect.dummy.in"/>
  </r>
  <r>
    <x v="364"/>
    <x v="1"/>
    <x v="3"/>
    <n v="5"/>
    <n v="0"/>
    <n v="3"/>
    <n v="2"/>
    <n v="1"/>
    <n v="5"/>
    <n v="1"/>
    <s v="SQL (Basic)"/>
    <n v="130"/>
    <n v="958791"/>
    <n v="112"/>
    <n v="228"/>
    <n v="201"/>
    <s v="23mh1a4918@aect.dummy.in"/>
  </r>
  <r>
    <x v="365"/>
    <x v="1"/>
    <x v="3"/>
    <n v="1"/>
    <n v="0"/>
    <n v="0"/>
    <n v="0"/>
    <n v="0"/>
    <n v="1"/>
    <n v="0"/>
    <s v="Null"/>
    <n v="4"/>
    <n v="5000001"/>
    <n v="0"/>
    <n v="0"/>
    <n v="8"/>
    <s v="23mh1a4930@aect.dummy.in"/>
  </r>
  <r>
    <x v="366"/>
    <x v="1"/>
    <x v="3"/>
    <n v="0"/>
    <n v="0"/>
    <n v="0"/>
    <n v="0"/>
    <n v="0"/>
    <n v="0"/>
    <n v="0"/>
    <s v="Null"/>
    <n v="0"/>
    <n v="5000001"/>
    <n v="0"/>
    <n v="0"/>
    <n v="0"/>
    <s v="23mh1a4944@aect.dummy.in"/>
  </r>
  <r>
    <x v="367"/>
    <x v="1"/>
    <x v="3"/>
    <n v="0"/>
    <n v="0"/>
    <n v="0"/>
    <n v="0"/>
    <n v="4"/>
    <n v="1"/>
    <n v="0"/>
    <s v="Null"/>
    <n v="0"/>
    <n v="5000001"/>
    <n v="0"/>
    <n v="0"/>
    <n v="47"/>
    <s v="23mh1a4945@aect.dummy.in"/>
  </r>
  <r>
    <x v="368"/>
    <x v="1"/>
    <x v="3"/>
    <n v="0"/>
    <n v="0"/>
    <n v="0"/>
    <n v="0"/>
    <n v="0"/>
    <n v="0"/>
    <n v="0"/>
    <s v="Null"/>
    <n v="0"/>
    <n v="5000001"/>
    <n v="0"/>
    <n v="0"/>
    <n v="0"/>
    <s v="23mh1a4946@aect.dummy.in"/>
  </r>
  <r>
    <x v="369"/>
    <x v="1"/>
    <x v="3"/>
    <n v="0"/>
    <n v="0"/>
    <n v="1"/>
    <n v="1"/>
    <n v="2"/>
    <n v="3"/>
    <n v="1"/>
    <s v="SQL (Basic)"/>
    <n v="15"/>
    <n v="3764769"/>
    <n v="13"/>
    <n v="18"/>
    <n v="60"/>
    <s v="23mh1a4957@aect.dummy.in"/>
  </r>
  <r>
    <x v="370"/>
    <x v="1"/>
    <x v="3"/>
    <n v="0"/>
    <n v="0"/>
    <n v="0"/>
    <n v="0"/>
    <n v="0"/>
    <n v="0"/>
    <n v="0"/>
    <s v="Null"/>
    <n v="0"/>
    <n v="5000001"/>
    <n v="0"/>
    <n v="0"/>
    <n v="0"/>
    <s v="23mh1a4962@aect.dummy.in"/>
  </r>
  <r>
    <x v="371"/>
    <x v="1"/>
    <x v="3"/>
    <n v="0"/>
    <n v="0"/>
    <n v="0"/>
    <n v="1"/>
    <n v="0"/>
    <n v="1"/>
    <n v="0"/>
    <s v="Null"/>
    <n v="120"/>
    <n v="1031435"/>
    <n v="0"/>
    <n v="0"/>
    <n v="2"/>
    <s v="23mh1a4963@aect.dummy.in"/>
  </r>
  <r>
    <x v="372"/>
    <x v="1"/>
    <x v="4"/>
    <n v="0"/>
    <n v="0"/>
    <n v="0"/>
    <n v="0"/>
    <n v="0"/>
    <n v="0"/>
    <n v="0"/>
    <s v="Null"/>
    <n v="0"/>
    <n v="5000001"/>
    <n v="0"/>
    <n v="0"/>
    <n v="0"/>
    <s v="23p31a0428@aect.dummy.in"/>
  </r>
  <r>
    <x v="373"/>
    <x v="1"/>
    <x v="4"/>
    <n v="1"/>
    <n v="0"/>
    <n v="0"/>
    <n v="0"/>
    <n v="0"/>
    <n v="1"/>
    <n v="0"/>
    <s v="Null"/>
    <n v="0"/>
    <n v="5000001"/>
    <n v="0"/>
    <n v="0"/>
    <n v="73"/>
    <s v="23p31a0435@aect.dummy.in"/>
  </r>
  <r>
    <x v="374"/>
    <x v="1"/>
    <x v="4"/>
    <n v="0"/>
    <n v="0"/>
    <n v="0"/>
    <n v="0"/>
    <n v="0"/>
    <n v="0"/>
    <n v="0"/>
    <s v="Null"/>
    <n v="0"/>
    <n v="5000001"/>
    <n v="0"/>
    <n v="0"/>
    <n v="0"/>
    <s v="23p31a0437@aect.dummy.in"/>
  </r>
  <r>
    <x v="375"/>
    <x v="1"/>
    <x v="4"/>
    <n v="4"/>
    <n v="0"/>
    <n v="0"/>
    <n v="0"/>
    <n v="0"/>
    <n v="1"/>
    <n v="0"/>
    <s v="Null"/>
    <n v="0"/>
    <n v="5000001"/>
    <n v="0"/>
    <n v="0"/>
    <n v="225"/>
    <s v="23p31a0446@aect.dummy.in"/>
  </r>
  <r>
    <x v="376"/>
    <x v="1"/>
    <x v="4"/>
    <n v="0"/>
    <n v="0"/>
    <n v="0"/>
    <n v="0"/>
    <n v="0"/>
    <n v="0"/>
    <n v="0"/>
    <s v="Null"/>
    <n v="0"/>
    <n v="5000001"/>
    <n v="0"/>
    <n v="0"/>
    <n v="0"/>
    <s v="23p31a0449@aect.dummy.in"/>
  </r>
  <r>
    <x v="377"/>
    <x v="1"/>
    <x v="4"/>
    <n v="0"/>
    <n v="0"/>
    <n v="0"/>
    <n v="0"/>
    <n v="0"/>
    <n v="0"/>
    <n v="0"/>
    <s v="Null"/>
    <n v="0"/>
    <n v="5000001"/>
    <n v="0"/>
    <n v="0"/>
    <n v="0"/>
    <s v="23p31a0467@aect.dummy.in"/>
  </r>
  <r>
    <x v="378"/>
    <x v="1"/>
    <x v="4"/>
    <n v="0"/>
    <n v="0"/>
    <n v="0"/>
    <n v="0"/>
    <n v="0"/>
    <n v="0"/>
    <n v="0"/>
    <s v="Null"/>
    <n v="0"/>
    <n v="5000001"/>
    <n v="0"/>
    <n v="0"/>
    <n v="0"/>
    <s v="23p31a0476@aect.dummy.in"/>
  </r>
  <r>
    <x v="379"/>
    <x v="1"/>
    <x v="4"/>
    <n v="0"/>
    <n v="0"/>
    <n v="0"/>
    <n v="3"/>
    <n v="0"/>
    <n v="1"/>
    <n v="0"/>
    <s v="Null"/>
    <n v="6"/>
    <n v="5000001"/>
    <n v="0"/>
    <n v="0"/>
    <n v="461"/>
    <s v="23p31a0486@aect.dummy.in"/>
  </r>
  <r>
    <x v="380"/>
    <x v="1"/>
    <x v="4"/>
    <n v="1"/>
    <n v="0"/>
    <n v="0"/>
    <n v="1"/>
    <n v="0"/>
    <n v="2"/>
    <n v="0"/>
    <s v="Null"/>
    <n v="0"/>
    <n v="5000001"/>
    <n v="0"/>
    <n v="0"/>
    <n v="8"/>
    <s v="23p31a0491@aect.dummy.in"/>
  </r>
  <r>
    <x v="381"/>
    <x v="1"/>
    <x v="4"/>
    <n v="0"/>
    <n v="0"/>
    <n v="0"/>
    <n v="0"/>
    <n v="0"/>
    <n v="0"/>
    <n v="0"/>
    <s v="Null"/>
    <n v="0"/>
    <n v="5000001"/>
    <n v="0"/>
    <n v="0"/>
    <n v="0"/>
    <s v="23p31a0496@aect.dummy.in"/>
  </r>
  <r>
    <x v="382"/>
    <x v="1"/>
    <x v="4"/>
    <n v="0"/>
    <n v="0"/>
    <n v="0"/>
    <n v="0"/>
    <n v="0"/>
    <n v="0"/>
    <n v="0"/>
    <s v="Null"/>
    <n v="2"/>
    <n v="5000001"/>
    <n v="43"/>
    <n v="52"/>
    <n v="107"/>
    <s v="23p31a04b3@aect.dummy.in"/>
  </r>
  <r>
    <x v="383"/>
    <x v="1"/>
    <x v="4"/>
    <n v="4"/>
    <n v="0"/>
    <n v="0"/>
    <n v="0"/>
    <n v="0"/>
    <n v="1"/>
    <n v="0"/>
    <s v="Null"/>
    <n v="0"/>
    <n v="5000001"/>
    <n v="0"/>
    <n v="0"/>
    <n v="23"/>
    <s v="23p31a04b8@aect.dummy.in"/>
  </r>
  <r>
    <x v="384"/>
    <x v="1"/>
    <x v="4"/>
    <n v="4"/>
    <n v="0"/>
    <n v="0"/>
    <n v="0"/>
    <n v="0"/>
    <n v="1"/>
    <n v="0"/>
    <s v="Null"/>
    <n v="0"/>
    <n v="5000001"/>
    <n v="0"/>
    <n v="0"/>
    <n v="3"/>
    <s v="23p31a04c4@aect.dummy.in"/>
  </r>
  <r>
    <x v="385"/>
    <x v="1"/>
    <x v="4"/>
    <n v="0"/>
    <n v="0"/>
    <n v="0"/>
    <n v="0"/>
    <n v="0"/>
    <n v="0"/>
    <n v="0"/>
    <s v="Null"/>
    <n v="0"/>
    <n v="5000001"/>
    <n v="0"/>
    <n v="0"/>
    <n v="2"/>
    <s v="23p31a04c7@aect.dummy.in"/>
  </r>
  <r>
    <x v="386"/>
    <x v="1"/>
    <x v="4"/>
    <n v="5"/>
    <n v="0"/>
    <n v="0"/>
    <n v="1"/>
    <n v="0"/>
    <n v="2"/>
    <n v="0"/>
    <s v="Null"/>
    <n v="0"/>
    <n v="5000001"/>
    <n v="0"/>
    <n v="0"/>
    <n v="42"/>
    <s v="23p31a04e4@aect.dummy.in"/>
  </r>
  <r>
    <x v="387"/>
    <x v="1"/>
    <x v="4"/>
    <n v="5"/>
    <n v="0"/>
    <n v="0"/>
    <n v="2"/>
    <n v="0"/>
    <n v="2"/>
    <n v="0"/>
    <s v="Null"/>
    <n v="0"/>
    <n v="5000001"/>
    <n v="0"/>
    <n v="0"/>
    <n v="308"/>
    <s v="23p31a04f8@aect.dummy.in"/>
  </r>
  <r>
    <x v="388"/>
    <x v="1"/>
    <x v="4"/>
    <n v="0"/>
    <n v="0"/>
    <n v="0"/>
    <n v="0"/>
    <n v="0"/>
    <n v="0"/>
    <n v="0"/>
    <s v="Null"/>
    <n v="3"/>
    <n v="5000001"/>
    <n v="3"/>
    <n v="8"/>
    <n v="11"/>
    <s v="23p31a04i5@aect.dummy.in"/>
  </r>
  <r>
    <x v="389"/>
    <x v="1"/>
    <x v="4"/>
    <n v="0"/>
    <n v="0"/>
    <n v="0"/>
    <n v="2"/>
    <n v="0"/>
    <n v="1"/>
    <n v="0"/>
    <s v="Null"/>
    <n v="3"/>
    <n v="5000001"/>
    <n v="0"/>
    <n v="0"/>
    <n v="534"/>
    <s v="23p31a04i8@aect.dummy.in"/>
  </r>
  <r>
    <x v="390"/>
    <x v="1"/>
    <x v="4"/>
    <n v="5"/>
    <n v="0"/>
    <n v="0"/>
    <n v="0"/>
    <n v="0"/>
    <n v="1"/>
    <n v="0"/>
    <s v="Null"/>
    <n v="0"/>
    <n v="5000001"/>
    <n v="0"/>
    <n v="0"/>
    <n v="13"/>
    <s v="23p31a04j0@aect.dummy.in"/>
  </r>
  <r>
    <x v="391"/>
    <x v="1"/>
    <x v="4"/>
    <n v="3"/>
    <n v="0"/>
    <n v="3"/>
    <n v="3"/>
    <n v="5"/>
    <n v="5"/>
    <n v="1"/>
    <s v="SQL (Basic)"/>
    <n v="148"/>
    <n v="846181"/>
    <n v="42"/>
    <n v="85"/>
    <n v="223"/>
    <s v="23p31a0501@aect.dummy.in"/>
  </r>
  <r>
    <x v="392"/>
    <x v="1"/>
    <x v="4"/>
    <n v="3"/>
    <n v="2"/>
    <n v="2"/>
    <n v="2"/>
    <n v="4"/>
    <n v="6"/>
    <n v="2"/>
    <s v="SQL (Basic),SQL (Intermediate)"/>
    <n v="137"/>
    <n v="912265"/>
    <n v="137"/>
    <n v="196"/>
    <n v="289"/>
    <s v="23p31a0502@aect.dummy.in"/>
  </r>
  <r>
    <x v="393"/>
    <x v="1"/>
    <x v="4"/>
    <n v="3"/>
    <n v="3"/>
    <n v="0"/>
    <n v="3"/>
    <n v="5"/>
    <n v="5"/>
    <n v="2"/>
    <s v="SQL (Basic),SQL (Intermediate)"/>
    <n v="117"/>
    <n v="1054255"/>
    <n v="34"/>
    <n v="76"/>
    <n v="570"/>
    <s v="23p31a0503@aect.dummy.in"/>
  </r>
  <r>
    <x v="394"/>
    <x v="1"/>
    <x v="4"/>
    <n v="3"/>
    <n v="0"/>
    <n v="0"/>
    <n v="1"/>
    <n v="5"/>
    <n v="3"/>
    <n v="2"/>
    <s v="SQL (Basic),SQL (Intermediate)"/>
    <n v="20"/>
    <n v="3292306"/>
    <n v="0"/>
    <n v="0"/>
    <n v="321"/>
    <s v="23p31a0504@aect.dummy.in"/>
  </r>
  <r>
    <x v="395"/>
    <x v="1"/>
    <x v="4"/>
    <n v="4"/>
    <n v="2"/>
    <n v="2"/>
    <n v="1"/>
    <n v="4"/>
    <n v="6"/>
    <n v="2"/>
    <s v="SQL (Basic),SQL (Intermediate)"/>
    <n v="31"/>
    <n v="2627286"/>
    <n v="0"/>
    <n v="0"/>
    <n v="87"/>
    <s v="23p31a0505@aect.dummy.in"/>
  </r>
  <r>
    <x v="396"/>
    <x v="1"/>
    <x v="4"/>
    <n v="0"/>
    <n v="0"/>
    <n v="1"/>
    <n v="2"/>
    <n v="5"/>
    <n v="4"/>
    <n v="2"/>
    <s v="SQL (Basic),SQL (Intermediate)"/>
    <n v="29"/>
    <n v="2725137"/>
    <n v="0"/>
    <n v="0"/>
    <n v="345"/>
    <s v="23p31a0506@aect.dummy.in"/>
  </r>
  <r>
    <x v="397"/>
    <x v="1"/>
    <x v="4"/>
    <n v="1"/>
    <n v="0"/>
    <n v="0"/>
    <n v="0"/>
    <n v="3"/>
    <n v="2"/>
    <n v="2"/>
    <s v="SQL (Basic),SQL (Intermediate)"/>
    <n v="33"/>
    <n v="2540826"/>
    <n v="3"/>
    <n v="8"/>
    <n v="530"/>
    <s v="23p31a0507@aect.dummy.in"/>
  </r>
  <r>
    <x v="398"/>
    <x v="1"/>
    <x v="4"/>
    <n v="3"/>
    <n v="0"/>
    <n v="1"/>
    <n v="0"/>
    <n v="0"/>
    <n v="3"/>
    <n v="0"/>
    <s v="Null"/>
    <n v="58"/>
    <n v="1794104"/>
    <n v="1"/>
    <n v="2"/>
    <n v="1141"/>
    <s v="23p31a0508@aect.dummy.in"/>
  </r>
  <r>
    <x v="399"/>
    <x v="1"/>
    <x v="4"/>
    <n v="3"/>
    <n v="0"/>
    <n v="0"/>
    <n v="0"/>
    <n v="3"/>
    <n v="2"/>
    <n v="2"/>
    <s v="SQL (Basic),SQL (Intermediate)"/>
    <n v="120"/>
    <n v="1031296"/>
    <n v="85"/>
    <n v="117"/>
    <n v="468"/>
    <s v="23p31a0509@aect.dummy.in"/>
  </r>
  <r>
    <x v="400"/>
    <x v="1"/>
    <x v="4"/>
    <n v="3"/>
    <n v="0"/>
    <n v="0"/>
    <n v="1"/>
    <n v="4"/>
    <n v="4"/>
    <n v="2"/>
    <s v="SQL (Intermediate),Python (Basic)"/>
    <n v="49"/>
    <n v="2010075"/>
    <n v="0"/>
    <n v="0"/>
    <n v="375"/>
    <s v="23p31a0511@aect.dummy.in"/>
  </r>
  <r>
    <x v="401"/>
    <x v="1"/>
    <x v="4"/>
    <n v="3"/>
    <n v="1"/>
    <n v="2"/>
    <n v="1"/>
    <n v="5"/>
    <n v="6"/>
    <n v="3"/>
    <s v="SQL (Basic),SQL (Intermediate),Java (Basic)"/>
    <n v="235"/>
    <n v="500841"/>
    <n v="60"/>
    <n v="182"/>
    <n v="403"/>
    <s v="23p31a0513@aect.dummy.in"/>
  </r>
  <r>
    <x v="402"/>
    <x v="1"/>
    <x v="4"/>
    <n v="3"/>
    <n v="0"/>
    <n v="1"/>
    <n v="0"/>
    <n v="5"/>
    <n v="4"/>
    <n v="3"/>
    <s v="SQL (Basic),SQL (Intermediate),Java (Basic)"/>
    <n v="191"/>
    <n v="644465"/>
    <n v="50"/>
    <n v="167"/>
    <n v="447"/>
    <s v="23p31a0514@aect.dummy.in"/>
  </r>
  <r>
    <x v="403"/>
    <x v="1"/>
    <x v="4"/>
    <n v="0"/>
    <n v="0"/>
    <n v="0"/>
    <n v="0"/>
    <n v="0"/>
    <n v="0"/>
    <n v="0"/>
    <s v="Null"/>
    <n v="3"/>
    <n v="5000001"/>
    <n v="0"/>
    <n v="0"/>
    <n v="0"/>
    <s v="23p31a0516@aect.dummy.in"/>
  </r>
  <r>
    <x v="404"/>
    <x v="1"/>
    <x v="4"/>
    <n v="3"/>
    <n v="2"/>
    <n v="3"/>
    <n v="3"/>
    <n v="4"/>
    <n v="6"/>
    <n v="2"/>
    <s v="Problem Solving (Basic),SQL (Basic)"/>
    <n v="96"/>
    <n v="1246245"/>
    <n v="80"/>
    <n v="207"/>
    <n v="1195"/>
    <s v="23p31a0517@aect.dummy.in"/>
  </r>
  <r>
    <x v="405"/>
    <x v="1"/>
    <x v="4"/>
    <n v="4"/>
    <n v="3"/>
    <n v="4"/>
    <n v="4"/>
    <n v="4"/>
    <n v="6"/>
    <n v="2"/>
    <s v="SQL (Basic),SQL (Intermediate)"/>
    <n v="440"/>
    <n v="189038"/>
    <n v="241"/>
    <n v="573"/>
    <n v="802"/>
    <s v="23p31a0519@aect.dummy.in"/>
  </r>
  <r>
    <x v="406"/>
    <x v="1"/>
    <x v="4"/>
    <n v="4"/>
    <n v="0"/>
    <n v="0"/>
    <n v="0"/>
    <n v="4"/>
    <n v="2"/>
    <n v="2"/>
    <s v="SQL (Basic),SQL (Intermediate)"/>
    <n v="52"/>
    <n v="1929671"/>
    <n v="0"/>
    <n v="0"/>
    <n v="116"/>
    <s v="23p31a0520@aect.dummy.in"/>
  </r>
  <r>
    <x v="407"/>
    <x v="1"/>
    <x v="0"/>
    <n v="3"/>
    <n v="0"/>
    <n v="1"/>
    <n v="0"/>
    <n v="3"/>
    <n v="4"/>
    <n v="2"/>
    <s v="SQL (Basic),SQL (Intermediate)"/>
    <n v="47"/>
    <n v="2060662"/>
    <n v="5"/>
    <n v="12"/>
    <n v="211"/>
    <s v="23p31a0521@aect.dummy.in"/>
  </r>
  <r>
    <x v="408"/>
    <x v="1"/>
    <x v="0"/>
    <n v="4"/>
    <n v="3"/>
    <n v="3"/>
    <n v="3"/>
    <n v="4"/>
    <n v="6"/>
    <n v="2"/>
    <s v="SQL (Basic),SQL (Intermediate)"/>
    <n v="202"/>
    <n v="604261"/>
    <n v="100"/>
    <n v="202"/>
    <n v="437"/>
    <s v="23p31a0524@aect.dummy.in"/>
  </r>
  <r>
    <x v="409"/>
    <x v="1"/>
    <x v="0"/>
    <n v="3"/>
    <n v="0"/>
    <n v="2"/>
    <n v="2"/>
    <n v="5"/>
    <n v="4"/>
    <n v="2"/>
    <s v="SQL (Basic),SQL (Intermediate)"/>
    <n v="37"/>
    <n v="2379254"/>
    <n v="2"/>
    <n v="3"/>
    <n v="124"/>
    <s v="23p31a0526@aect.dummy.in"/>
  </r>
  <r>
    <x v="410"/>
    <x v="1"/>
    <x v="0"/>
    <n v="3"/>
    <n v="2"/>
    <n v="3"/>
    <n v="3"/>
    <n v="5"/>
    <n v="6"/>
    <n v="3"/>
    <s v="SQL (Basic),SQL (Intermediate),Java (Basic)"/>
    <n v="198"/>
    <n v="618867"/>
    <n v="134"/>
    <n v="330"/>
    <n v="332"/>
    <s v="23p31a0527@aect.dummy.in"/>
  </r>
  <r>
    <x v="411"/>
    <x v="1"/>
    <x v="0"/>
    <n v="3"/>
    <n v="4"/>
    <n v="1"/>
    <n v="3"/>
    <n v="4"/>
    <n v="6"/>
    <n v="2"/>
    <s v="SQL (Basic),SQL (Intermediate)"/>
    <n v="144"/>
    <n v="869516"/>
    <n v="26"/>
    <n v="69"/>
    <n v="151"/>
    <s v="23p31a0528@aect.dummy.in"/>
  </r>
  <r>
    <x v="412"/>
    <x v="1"/>
    <x v="0"/>
    <n v="3"/>
    <n v="2"/>
    <n v="2"/>
    <n v="1"/>
    <n v="5"/>
    <n v="6"/>
    <n v="2"/>
    <s v="SQL (Basic),SQL (Intermediate)"/>
    <n v="107"/>
    <n v="1138933"/>
    <n v="70"/>
    <n v="127"/>
    <n v="265"/>
    <s v="23p31a0529@aect.dummy.in"/>
  </r>
  <r>
    <x v="413"/>
    <x v="1"/>
    <x v="0"/>
    <n v="3"/>
    <n v="1"/>
    <n v="2"/>
    <n v="3"/>
    <n v="4"/>
    <n v="6"/>
    <n v="2"/>
    <s v="SQL (Basic),SQL (Intermediate)"/>
    <n v="134"/>
    <n v="931783"/>
    <n v="50"/>
    <n v="114"/>
    <n v="176"/>
    <s v="23p31a0530@aect.dummy.in"/>
  </r>
  <r>
    <x v="414"/>
    <x v="1"/>
    <x v="0"/>
    <n v="3"/>
    <n v="1"/>
    <n v="3"/>
    <n v="3"/>
    <n v="4"/>
    <n v="6"/>
    <n v="3"/>
    <s v="SQL (Basic),SQL (Intermediate),Problem Solving (Basic)"/>
    <n v="141"/>
    <n v="887408"/>
    <n v="35"/>
    <n v="74"/>
    <n v="256"/>
    <s v="23p31a0531@aect.dummy.in"/>
  </r>
  <r>
    <x v="415"/>
    <x v="1"/>
    <x v="0"/>
    <n v="3"/>
    <n v="0"/>
    <n v="3"/>
    <n v="2"/>
    <n v="4"/>
    <n v="5"/>
    <n v="2"/>
    <s v="SQL (Basic),SQL (Intermediate)"/>
    <n v="120"/>
    <n v="1031063"/>
    <n v="51"/>
    <n v="52"/>
    <n v="645"/>
    <s v="23p31a0532@aect.dummy.in"/>
  </r>
  <r>
    <x v="416"/>
    <x v="1"/>
    <x v="1"/>
    <n v="3"/>
    <n v="0"/>
    <n v="0"/>
    <n v="2"/>
    <n v="4"/>
    <n v="4"/>
    <n v="2"/>
    <s v="SQL (Basic),SQL (Intermediate)"/>
    <n v="6"/>
    <n v="5000001"/>
    <n v="1"/>
    <n v="2"/>
    <n v="500"/>
    <s v="23p31a0534@aect.dummy.in"/>
  </r>
  <r>
    <x v="417"/>
    <x v="1"/>
    <x v="1"/>
    <n v="3"/>
    <n v="0"/>
    <n v="2"/>
    <n v="0"/>
    <n v="4"/>
    <n v="4"/>
    <n v="2"/>
    <s v="SQL (Basic),SQL (Intermediate)"/>
    <n v="193"/>
    <n v="636968"/>
    <n v="5"/>
    <n v="4"/>
    <n v="723"/>
    <s v="23p31a0537@aect.dummy.in"/>
  </r>
  <r>
    <x v="418"/>
    <x v="1"/>
    <x v="1"/>
    <n v="5"/>
    <n v="0"/>
    <n v="2"/>
    <n v="3"/>
    <n v="0"/>
    <n v="4"/>
    <n v="0"/>
    <s v="Null"/>
    <n v="9"/>
    <n v="4658475"/>
    <n v="0"/>
    <n v="0"/>
    <n v="220"/>
    <s v="23p31a0538@aect.dummy.in"/>
  </r>
  <r>
    <x v="419"/>
    <x v="1"/>
    <x v="1"/>
    <n v="3"/>
    <n v="0"/>
    <n v="0"/>
    <n v="0"/>
    <n v="4"/>
    <n v="2"/>
    <n v="2"/>
    <s v="SQL (Basic),SQL (Intermediate)"/>
    <n v="25"/>
    <n v="2948218"/>
    <n v="2"/>
    <n v="0"/>
    <n v="185"/>
    <s v="23p31a0539@aect.dummy.in"/>
  </r>
  <r>
    <x v="420"/>
    <x v="1"/>
    <x v="1"/>
    <n v="3"/>
    <n v="0"/>
    <n v="1"/>
    <n v="3"/>
    <n v="3"/>
    <n v="5"/>
    <n v="1"/>
    <s v="SQL (Basic)"/>
    <n v="40"/>
    <n v="2271006"/>
    <n v="0"/>
    <n v="0"/>
    <n v="70"/>
    <s v="23p31a0540@aect.dummy.in"/>
  </r>
  <r>
    <x v="421"/>
    <x v="1"/>
    <x v="1"/>
    <n v="3"/>
    <n v="2"/>
    <n v="2"/>
    <n v="1"/>
    <n v="3"/>
    <n v="6"/>
    <n v="2"/>
    <s v="SQL (Basic),SQL (Intermediate)"/>
    <n v="70"/>
    <n v="1577272"/>
    <n v="66"/>
    <n v="112"/>
    <n v="339"/>
    <s v="23p31a0543@aect.dummy.in"/>
  </r>
  <r>
    <x v="422"/>
    <x v="1"/>
    <x v="1"/>
    <n v="3"/>
    <n v="0"/>
    <n v="0"/>
    <n v="2"/>
    <n v="5"/>
    <n v="4"/>
    <n v="3"/>
    <s v="SQL (Basic),SQL (Intermediate),Java (Basic)"/>
    <n v="65"/>
    <n v="1660549"/>
    <n v="0"/>
    <n v="0"/>
    <n v="251"/>
    <s v="23p31a0544@aect.dummy.in"/>
  </r>
  <r>
    <x v="423"/>
    <x v="1"/>
    <x v="1"/>
    <n v="3"/>
    <n v="0"/>
    <n v="0"/>
    <n v="0"/>
    <n v="0"/>
    <n v="1"/>
    <n v="0"/>
    <s v="Null"/>
    <n v="4"/>
    <n v="5000001"/>
    <n v="0"/>
    <n v="0"/>
    <n v="14"/>
    <s v="23p31a0545@aect.dummy.in"/>
  </r>
  <r>
    <x v="424"/>
    <x v="1"/>
    <x v="1"/>
    <n v="3"/>
    <n v="1"/>
    <n v="2"/>
    <n v="1"/>
    <n v="3"/>
    <n v="6"/>
    <n v="1"/>
    <s v="SQL (Basic)"/>
    <n v="79"/>
    <n v="1444517"/>
    <n v="33"/>
    <n v="64"/>
    <n v="133"/>
    <s v="23p31a0547@aect.dummy.in"/>
  </r>
  <r>
    <x v="425"/>
    <x v="1"/>
    <x v="1"/>
    <n v="3"/>
    <n v="2"/>
    <n v="2"/>
    <n v="0"/>
    <n v="5"/>
    <n v="5"/>
    <n v="1"/>
    <s v="SQL (Basic)"/>
    <n v="47"/>
    <n v="2060648"/>
    <n v="21"/>
    <n v="48"/>
    <n v="350"/>
    <s v="23p31a0548@aect.dummy.in"/>
  </r>
  <r>
    <x v="426"/>
    <x v="1"/>
    <x v="1"/>
    <n v="4"/>
    <n v="0"/>
    <n v="0"/>
    <n v="0"/>
    <n v="5"/>
    <n v="3"/>
    <n v="1"/>
    <s v="SQL (Basic)"/>
    <n v="42"/>
    <n v="2207956"/>
    <n v="1"/>
    <n v="1"/>
    <n v="235"/>
    <s v="23p31a0549@aect.dummy.in"/>
  </r>
  <r>
    <x v="427"/>
    <x v="1"/>
    <x v="1"/>
    <n v="4"/>
    <n v="3"/>
    <n v="3"/>
    <n v="3"/>
    <n v="4"/>
    <n v="6"/>
    <n v="3"/>
    <s v="SQL (Basic),SQL (Intermediate),Problem Solving (Basic)"/>
    <n v="199"/>
    <n v="615429"/>
    <n v="108"/>
    <n v="197"/>
    <n v="595"/>
    <s v="23p31a0552@aect.dummy.in"/>
  </r>
  <r>
    <x v="428"/>
    <x v="1"/>
    <x v="1"/>
    <n v="3"/>
    <n v="0"/>
    <n v="2"/>
    <n v="2"/>
    <n v="5"/>
    <n v="5"/>
    <n v="2"/>
    <s v="SQL (Basic),SQL (Intermediate)"/>
    <n v="49"/>
    <n v="2010069"/>
    <n v="0"/>
    <n v="0"/>
    <n v="534"/>
    <s v="23p31a0556@aect.dummy.in"/>
  </r>
  <r>
    <x v="429"/>
    <x v="1"/>
    <x v="1"/>
    <n v="3"/>
    <n v="0"/>
    <n v="0"/>
    <n v="0"/>
    <n v="0"/>
    <n v="1"/>
    <n v="0"/>
    <s v="Null"/>
    <n v="7"/>
    <n v="5000001"/>
    <n v="0"/>
    <n v="0"/>
    <n v="3"/>
    <s v="23p31a0557@aect.dummy.in"/>
  </r>
  <r>
    <x v="430"/>
    <x v="1"/>
    <x v="1"/>
    <n v="3"/>
    <n v="0"/>
    <n v="0"/>
    <n v="1"/>
    <n v="5"/>
    <n v="3"/>
    <n v="2"/>
    <s v="SQL (Basic),SQL (Intermediate)"/>
    <n v="44"/>
    <n v="2147103"/>
    <n v="2"/>
    <n v="3"/>
    <n v="323"/>
    <s v="23p31a0560@aect.dummy.in"/>
  </r>
  <r>
    <x v="431"/>
    <x v="1"/>
    <x v="1"/>
    <n v="2"/>
    <n v="0"/>
    <n v="2"/>
    <n v="0"/>
    <n v="0"/>
    <n v="3"/>
    <n v="0"/>
    <s v="Null"/>
    <n v="26"/>
    <n v="2884748"/>
    <n v="1"/>
    <n v="2"/>
    <n v="125"/>
    <s v="23p31a0561@aect.dummy.in"/>
  </r>
  <r>
    <x v="432"/>
    <x v="1"/>
    <x v="1"/>
    <n v="4"/>
    <n v="0"/>
    <n v="0"/>
    <n v="0"/>
    <n v="1"/>
    <n v="2"/>
    <n v="2"/>
    <s v="SQL (Basic),SQL (Intermediate)"/>
    <n v="26"/>
    <n v="2884093"/>
    <n v="0"/>
    <n v="0"/>
    <n v="86"/>
    <s v="23p31a0562@aect.dummy.in"/>
  </r>
  <r>
    <x v="433"/>
    <x v="1"/>
    <x v="2"/>
    <n v="3"/>
    <n v="0"/>
    <n v="0"/>
    <n v="0"/>
    <n v="5"/>
    <n v="3"/>
    <n v="2"/>
    <s v="SQL (Basic),SQL (Intermediate)"/>
    <n v="34"/>
    <n v="2496163"/>
    <n v="1"/>
    <n v="4"/>
    <n v="377"/>
    <s v="23p31a0563@aect.dummy.in"/>
  </r>
  <r>
    <x v="434"/>
    <x v="1"/>
    <x v="3"/>
    <n v="4"/>
    <n v="0"/>
    <n v="3"/>
    <n v="3"/>
    <n v="4"/>
    <n v="4"/>
    <n v="1"/>
    <s v="SQL (Basic)"/>
    <n v="40"/>
    <n v="2274419"/>
    <n v="3"/>
    <n v="5"/>
    <n v="610"/>
    <s v="23p31a0564@aect.dummy.in"/>
  </r>
  <r>
    <x v="435"/>
    <x v="1"/>
    <x v="3"/>
    <n v="4"/>
    <n v="1"/>
    <n v="3"/>
    <n v="1"/>
    <n v="4"/>
    <n v="6"/>
    <n v="2"/>
    <s v="Java (Basic),SQL (Basic)"/>
    <n v="129"/>
    <n v="965943"/>
    <n v="161"/>
    <n v="249"/>
    <n v="748"/>
    <s v="23p31a0565@aect.dummy.in"/>
  </r>
  <r>
    <x v="436"/>
    <x v="1"/>
    <x v="3"/>
    <n v="0"/>
    <n v="0"/>
    <n v="0"/>
    <n v="0"/>
    <n v="0"/>
    <n v="0"/>
    <n v="0"/>
    <s v="Null"/>
    <n v="0"/>
    <n v="5000001"/>
    <n v="0"/>
    <n v="0"/>
    <n v="0"/>
    <s v="23p31a0567@aect.dummy.in"/>
  </r>
  <r>
    <x v="437"/>
    <x v="1"/>
    <x v="3"/>
    <n v="3"/>
    <n v="0"/>
    <n v="3"/>
    <n v="3"/>
    <n v="0"/>
    <n v="3"/>
    <n v="2"/>
    <s v="SQL (Basic),Python (Basic)"/>
    <n v="1"/>
    <n v="5000001"/>
    <n v="0"/>
    <n v="0"/>
    <n v="10"/>
    <s v="23p31a0568@aect.dummy.in"/>
  </r>
  <r>
    <x v="438"/>
    <x v="1"/>
    <x v="3"/>
    <n v="3"/>
    <n v="0"/>
    <n v="0"/>
    <n v="0"/>
    <n v="2"/>
    <n v="2"/>
    <n v="1"/>
    <s v="SQL (Basic)"/>
    <n v="5"/>
    <n v="5000001"/>
    <n v="0"/>
    <n v="0"/>
    <n v="100"/>
    <s v="23p31a0569@aect.dummy.in"/>
  </r>
  <r>
    <x v="439"/>
    <x v="1"/>
    <x v="3"/>
    <n v="4"/>
    <n v="0"/>
    <n v="0"/>
    <n v="0"/>
    <n v="4"/>
    <n v="2"/>
    <n v="1"/>
    <s v="SQL (Basic)"/>
    <n v="6"/>
    <n v="5000001"/>
    <n v="0"/>
    <n v="0"/>
    <n v="408"/>
    <s v="23p31a0575@aect.dummy.in"/>
  </r>
  <r>
    <x v="440"/>
    <x v="1"/>
    <x v="3"/>
    <n v="3"/>
    <n v="1"/>
    <n v="1"/>
    <n v="0"/>
    <n v="0"/>
    <n v="3"/>
    <n v="1"/>
    <s v="Java (Basic)"/>
    <n v="83"/>
    <n v="1392494"/>
    <n v="4"/>
    <n v="8"/>
    <n v="48"/>
    <s v="23p31a0577@aect.dummy.in"/>
  </r>
  <r>
    <x v="441"/>
    <x v="1"/>
    <x v="3"/>
    <n v="1"/>
    <n v="0"/>
    <n v="0"/>
    <n v="0"/>
    <n v="0"/>
    <n v="1"/>
    <n v="0"/>
    <s v="Null"/>
    <n v="23"/>
    <n v="3076439"/>
    <n v="0"/>
    <n v="0"/>
    <n v="2"/>
    <s v="23p31a0578@aect.dummy.in"/>
  </r>
  <r>
    <x v="442"/>
    <x v="1"/>
    <x v="3"/>
    <n v="3"/>
    <n v="1"/>
    <n v="0"/>
    <n v="2"/>
    <n v="4"/>
    <n v="5"/>
    <n v="3"/>
    <s v="SQL (Basic),SQL (Intermediate),Python (Basic)"/>
    <n v="40"/>
    <n v="2273364"/>
    <n v="6"/>
    <n v="12"/>
    <n v="116"/>
    <s v="23p31a0581@aect.dummy.in"/>
  </r>
  <r>
    <x v="443"/>
    <x v="1"/>
    <x v="3"/>
    <n v="5"/>
    <n v="5"/>
    <n v="5"/>
    <n v="5"/>
    <n v="0"/>
    <n v="5"/>
    <n v="0"/>
    <s v="Null"/>
    <n v="1"/>
    <n v="5000001"/>
    <n v="2"/>
    <n v="10"/>
    <n v="26"/>
    <s v="23p31a0582@aect.dummy.in"/>
  </r>
  <r>
    <x v="444"/>
    <x v="2"/>
    <x v="0"/>
    <n v="3"/>
    <n v="0"/>
    <n v="0"/>
    <n v="0"/>
    <n v="1"/>
    <n v="3"/>
    <n v="1"/>
    <s v="SQL (Basic)"/>
    <n v="24"/>
    <n v="3005665"/>
    <n v="2"/>
    <n v="4"/>
    <n v="3"/>
    <s v="23p31a0583@aect.dummy.in"/>
  </r>
  <r>
    <x v="445"/>
    <x v="2"/>
    <x v="0"/>
    <n v="3"/>
    <n v="0"/>
    <n v="2"/>
    <n v="2"/>
    <n v="4"/>
    <n v="5"/>
    <n v="1"/>
    <s v="SQL (Basic)"/>
    <n v="29"/>
    <n v="2725132"/>
    <n v="0"/>
    <n v="0"/>
    <n v="488"/>
    <s v="23p31a0584@aect.dummy.in"/>
  </r>
  <r>
    <x v="446"/>
    <x v="2"/>
    <x v="0"/>
    <n v="4"/>
    <n v="0"/>
    <n v="1"/>
    <n v="2"/>
    <n v="2"/>
    <n v="5"/>
    <n v="4"/>
    <s v="SQL (Basic),Python (Basic),Java (Basic),SQL (Intermediate)"/>
    <n v="126"/>
    <n v="986949"/>
    <n v="5"/>
    <n v="14"/>
    <n v="137"/>
    <s v="23p31a0586@aect.dummy.in"/>
  </r>
  <r>
    <x v="447"/>
    <x v="2"/>
    <x v="0"/>
    <n v="0"/>
    <n v="0"/>
    <n v="0"/>
    <n v="1"/>
    <n v="1"/>
    <n v="2"/>
    <n v="1"/>
    <s v="SQL (Basic)"/>
    <n v="4"/>
    <n v="5000001"/>
    <n v="0"/>
    <n v="0"/>
    <n v="0"/>
    <s v="23p31a0587@aect.dummy.in"/>
  </r>
  <r>
    <x v="448"/>
    <x v="2"/>
    <x v="0"/>
    <n v="3"/>
    <n v="0"/>
    <n v="0"/>
    <n v="0"/>
    <n v="1"/>
    <n v="3"/>
    <n v="0"/>
    <s v="Null"/>
    <n v="37"/>
    <n v="2378302"/>
    <n v="77"/>
    <n v="160"/>
    <n v="92"/>
    <s v="23p31a0588@aect.dummy.in"/>
  </r>
  <r>
    <x v="449"/>
    <x v="2"/>
    <x v="0"/>
    <n v="3"/>
    <n v="0"/>
    <n v="0"/>
    <n v="0"/>
    <n v="0"/>
    <n v="1"/>
    <n v="0"/>
    <s v="Null"/>
    <n v="207"/>
    <n v="590058"/>
    <n v="79"/>
    <n v="235"/>
    <n v="3"/>
    <s v="23p31a0597@aect.dummy.in"/>
  </r>
  <r>
    <x v="450"/>
    <x v="2"/>
    <x v="0"/>
    <n v="4"/>
    <n v="0"/>
    <n v="0"/>
    <n v="0"/>
    <n v="3"/>
    <n v="3"/>
    <n v="0"/>
    <s v="Null"/>
    <n v="1"/>
    <n v="5000001"/>
    <n v="0"/>
    <n v="0"/>
    <n v="3"/>
    <s v="23p31a0599@aect.dummy.in"/>
  </r>
  <r>
    <x v="451"/>
    <x v="2"/>
    <x v="0"/>
    <n v="0"/>
    <n v="0"/>
    <n v="1"/>
    <n v="1"/>
    <n v="0"/>
    <n v="2"/>
    <n v="0"/>
    <s v="Null"/>
    <n v="0"/>
    <n v="5000001"/>
    <n v="1"/>
    <n v="1"/>
    <n v="43"/>
    <s v="23p31a05a9@aect.dummy.in"/>
  </r>
  <r>
    <x v="452"/>
    <x v="2"/>
    <x v="0"/>
    <n v="1"/>
    <n v="0"/>
    <n v="3"/>
    <n v="3"/>
    <n v="3"/>
    <n v="4"/>
    <n v="0"/>
    <s v="Null"/>
    <n v="81"/>
    <n v="1417980"/>
    <n v="27"/>
    <n v="32"/>
    <n v="114"/>
    <s v="23p31a05c0@aect.dummy.in"/>
  </r>
  <r>
    <x v="453"/>
    <x v="2"/>
    <x v="0"/>
    <n v="3"/>
    <n v="0"/>
    <n v="0"/>
    <n v="0"/>
    <n v="0"/>
    <n v="1"/>
    <n v="0"/>
    <s v="Null"/>
    <n v="0"/>
    <n v="5000001"/>
    <n v="0"/>
    <n v="0"/>
    <n v="0"/>
    <s v="23p31a05d3@aect.dummy.in"/>
  </r>
  <r>
    <x v="454"/>
    <x v="2"/>
    <x v="0"/>
    <n v="1"/>
    <n v="0"/>
    <n v="0"/>
    <n v="1"/>
    <n v="0"/>
    <n v="2"/>
    <n v="0"/>
    <s v="Null"/>
    <n v="20"/>
    <n v="3303932"/>
    <n v="4"/>
    <n v="8"/>
    <n v="2"/>
    <s v="23p31a05d6@aect.dummy.in"/>
  </r>
  <r>
    <x v="455"/>
    <x v="2"/>
    <x v="0"/>
    <n v="2"/>
    <n v="0"/>
    <n v="0"/>
    <n v="0"/>
    <n v="5"/>
    <n v="2"/>
    <n v="2"/>
    <s v="SQL (Basic),SQL (Intermediate)"/>
    <n v="14"/>
    <n v="3903102"/>
    <n v="4"/>
    <n v="16"/>
    <n v="5"/>
    <s v="23p31a05d7@aect.dummy.in"/>
  </r>
  <r>
    <x v="456"/>
    <x v="2"/>
    <x v="0"/>
    <n v="0"/>
    <n v="0"/>
    <n v="3"/>
    <n v="0"/>
    <n v="0"/>
    <n v="1"/>
    <n v="0"/>
    <s v="Null"/>
    <n v="0"/>
    <n v="5000001"/>
    <n v="0"/>
    <n v="0"/>
    <n v="0"/>
    <s v="23p31a05e4@aect.dummy.in"/>
  </r>
  <r>
    <x v="457"/>
    <x v="2"/>
    <x v="0"/>
    <n v="0"/>
    <n v="0"/>
    <n v="0"/>
    <n v="0"/>
    <n v="0"/>
    <n v="0"/>
    <n v="0"/>
    <s v="Null"/>
    <n v="16"/>
    <n v="3673514"/>
    <n v="0"/>
    <n v="0"/>
    <n v="66"/>
    <s v="23p31a05e5@aect.dummy.in"/>
  </r>
  <r>
    <x v="458"/>
    <x v="2"/>
    <x v="0"/>
    <n v="0"/>
    <n v="0"/>
    <n v="1"/>
    <n v="1"/>
    <n v="0"/>
    <n v="2"/>
    <n v="0"/>
    <s v="Null"/>
    <n v="32"/>
    <n v="2585186"/>
    <n v="0"/>
    <n v="0"/>
    <n v="56"/>
    <s v="23p31a05f2@aect.dummy.in"/>
  </r>
  <r>
    <x v="459"/>
    <x v="2"/>
    <x v="0"/>
    <n v="2"/>
    <n v="0"/>
    <n v="3"/>
    <n v="0"/>
    <n v="5"/>
    <n v="3"/>
    <n v="3"/>
    <s v="SQL (Basic),SQL (Intermediate),Java (Basic)"/>
    <n v="82"/>
    <n v="1406321"/>
    <n v="0"/>
    <n v="0"/>
    <n v="238"/>
    <s v="23p31a05g5@aect.dummy.in"/>
  </r>
  <r>
    <x v="460"/>
    <x v="2"/>
    <x v="0"/>
    <n v="1"/>
    <n v="0"/>
    <n v="0"/>
    <n v="0"/>
    <n v="0"/>
    <n v="1"/>
    <n v="0"/>
    <s v="Null"/>
    <n v="0"/>
    <n v="5000001"/>
    <n v="0"/>
    <n v="0"/>
    <n v="122"/>
    <s v="23p31a05h3@aect.dummy.in"/>
  </r>
  <r>
    <x v="461"/>
    <x v="2"/>
    <x v="0"/>
    <n v="3"/>
    <n v="0"/>
    <n v="0"/>
    <n v="0"/>
    <n v="0"/>
    <n v="1"/>
    <n v="0"/>
    <s v="Null"/>
    <n v="0"/>
    <n v="5000001"/>
    <n v="0"/>
    <n v="0"/>
    <n v="115"/>
    <s v="23p31a05h4@aect.dummy.in"/>
  </r>
  <r>
    <x v="462"/>
    <x v="2"/>
    <x v="0"/>
    <n v="3"/>
    <n v="0"/>
    <n v="0"/>
    <n v="0"/>
    <n v="0"/>
    <n v="1"/>
    <n v="0"/>
    <s v="Null"/>
    <n v="0"/>
    <n v="5000001"/>
    <n v="0"/>
    <n v="0"/>
    <n v="122"/>
    <s v="23p31a05h6@aect.dummy.in"/>
  </r>
  <r>
    <x v="463"/>
    <x v="2"/>
    <x v="0"/>
    <n v="2"/>
    <n v="0"/>
    <n v="0"/>
    <n v="0"/>
    <n v="0"/>
    <n v="1"/>
    <n v="1"/>
    <s v="CSS (Basic)"/>
    <n v="1"/>
    <n v="5000001"/>
    <n v="3"/>
    <n v="4"/>
    <n v="1060"/>
    <s v="23p31a05h8@aect.dummy.in"/>
  </r>
  <r>
    <x v="464"/>
    <x v="2"/>
    <x v="0"/>
    <n v="3"/>
    <n v="0"/>
    <n v="0"/>
    <n v="0"/>
    <n v="0"/>
    <n v="1"/>
    <n v="0"/>
    <s v="Null"/>
    <n v="0"/>
    <n v="5000001"/>
    <n v="0"/>
    <n v="0"/>
    <n v="0"/>
    <s v="23p31a05i7@aect.dummy.in"/>
  </r>
  <r>
    <x v="465"/>
    <x v="2"/>
    <x v="0"/>
    <n v="1"/>
    <n v="0"/>
    <n v="3"/>
    <n v="0"/>
    <n v="4"/>
    <n v="3"/>
    <n v="2"/>
    <s v="SQL (Basic),SQL (Intermediate)"/>
    <n v="24"/>
    <n v="3015789"/>
    <n v="0"/>
    <n v="0"/>
    <n v="25"/>
    <s v="23p31a05i9@aect.dummy.in"/>
  </r>
  <r>
    <x v="466"/>
    <x v="2"/>
    <x v="0"/>
    <n v="2"/>
    <n v="0"/>
    <n v="1"/>
    <n v="1"/>
    <n v="0"/>
    <n v="3"/>
    <n v="0"/>
    <s v="Null"/>
    <n v="0"/>
    <n v="5000001"/>
    <n v="13"/>
    <n v="20"/>
    <n v="345"/>
    <s v="23p31a05k0@aect.dummy.in"/>
  </r>
  <r>
    <x v="467"/>
    <x v="2"/>
    <x v="0"/>
    <n v="1"/>
    <n v="0"/>
    <n v="0"/>
    <n v="0"/>
    <n v="5"/>
    <n v="2"/>
    <n v="2"/>
    <s v="SQL (Basic),SQL (Intermediate)"/>
    <n v="125"/>
    <n v="993590"/>
    <n v="19"/>
    <n v="41"/>
    <n v="166"/>
    <s v="23p31a05k5@aect.dummy.in"/>
  </r>
  <r>
    <x v="468"/>
    <x v="2"/>
    <x v="0"/>
    <n v="4"/>
    <n v="0"/>
    <n v="2"/>
    <n v="0"/>
    <n v="5"/>
    <n v="3"/>
    <n v="2"/>
    <s v="SQL (Basic),SQL (Intermediate)"/>
    <n v="89"/>
    <n v="1321726"/>
    <n v="91"/>
    <n v="149"/>
    <n v="370"/>
    <s v="23p31a05l9@aect.dummy.in"/>
  </r>
  <r>
    <x v="469"/>
    <x v="2"/>
    <x v="0"/>
    <n v="3"/>
    <n v="0"/>
    <n v="0"/>
    <n v="0"/>
    <n v="0"/>
    <n v="1"/>
    <n v="0"/>
    <s v="Null"/>
    <n v="20"/>
    <n v="3310660"/>
    <n v="0"/>
    <n v="0"/>
    <n v="28"/>
    <s v="23p31a05m4@aect.dummy.in"/>
  </r>
  <r>
    <x v="470"/>
    <x v="2"/>
    <x v="0"/>
    <n v="1"/>
    <n v="0"/>
    <n v="0"/>
    <n v="0"/>
    <n v="0"/>
    <n v="1"/>
    <n v="1"/>
    <s v="Java (Basic)"/>
    <n v="0"/>
    <n v="5000001"/>
    <n v="0"/>
    <n v="0"/>
    <n v="60"/>
    <s v="23p31a05m5@aect.dummy.in"/>
  </r>
  <r>
    <x v="471"/>
    <x v="2"/>
    <x v="0"/>
    <n v="3"/>
    <n v="0"/>
    <n v="0"/>
    <n v="0"/>
    <n v="5"/>
    <n v="2"/>
    <n v="2"/>
    <s v="SQL (Basic),SQL (Intermediate)"/>
    <n v="23"/>
    <n v="3076398"/>
    <n v="0"/>
    <n v="0"/>
    <n v="56"/>
    <s v="23p31a05o1@aect.dummy.in"/>
  </r>
  <r>
    <x v="472"/>
    <x v="2"/>
    <x v="0"/>
    <n v="2"/>
    <n v="0"/>
    <n v="0"/>
    <n v="0"/>
    <n v="0"/>
    <n v="1"/>
    <n v="1"/>
    <s v="CSS (Basic)"/>
    <n v="0"/>
    <n v="5000001"/>
    <n v="0"/>
    <n v="0"/>
    <n v="266"/>
    <s v="23p31a05o2@aect.dummy.in"/>
  </r>
  <r>
    <x v="473"/>
    <x v="2"/>
    <x v="0"/>
    <n v="1"/>
    <n v="0"/>
    <n v="0"/>
    <n v="0"/>
    <n v="4"/>
    <n v="2"/>
    <n v="1"/>
    <s v="SQL (Basic)"/>
    <n v="24"/>
    <n v="3015764"/>
    <n v="2"/>
    <n v="2"/>
    <n v="266"/>
    <s v="23p31a05p3@aect.dummy.in"/>
  </r>
  <r>
    <x v="474"/>
    <x v="2"/>
    <x v="0"/>
    <n v="2"/>
    <n v="0"/>
    <n v="0"/>
    <n v="4"/>
    <n v="0"/>
    <n v="2"/>
    <n v="1"/>
    <s v="SQL (Basic)"/>
    <n v="0"/>
    <n v="5000001"/>
    <n v="0"/>
    <n v="0"/>
    <n v="276"/>
    <s v="23p31a05p4@aect.dummy.in"/>
  </r>
  <r>
    <x v="475"/>
    <x v="2"/>
    <x v="0"/>
    <n v="0"/>
    <n v="0"/>
    <n v="2"/>
    <n v="1"/>
    <n v="5"/>
    <n v="3"/>
    <n v="2"/>
    <s v="SQL (Basic),JavaScript (Basic)"/>
    <n v="36"/>
    <n v="2421904"/>
    <n v="0"/>
    <n v="0"/>
    <n v="142"/>
    <s v="23p31a05r2@aect.dummy.in"/>
  </r>
  <r>
    <x v="476"/>
    <x v="2"/>
    <x v="0"/>
    <n v="4"/>
    <n v="0"/>
    <n v="0"/>
    <n v="3"/>
    <n v="3"/>
    <n v="4"/>
    <n v="0"/>
    <s v="Null"/>
    <n v="145"/>
    <n v="864023"/>
    <n v="33"/>
    <n v="61"/>
    <n v="603"/>
    <s v="23p31a1201@aect.dummy.in"/>
  </r>
  <r>
    <x v="477"/>
    <x v="2"/>
    <x v="0"/>
    <n v="3"/>
    <n v="0"/>
    <n v="0"/>
    <n v="0"/>
    <n v="2"/>
    <n v="2"/>
    <n v="2"/>
    <s v="SQL (Basic),SQL (Intermediate)"/>
    <n v="29"/>
    <n v="2723516"/>
    <n v="9"/>
    <n v="21"/>
    <n v="105"/>
    <s v="23p31a1202@aect.dummy.in"/>
  </r>
  <r>
    <x v="478"/>
    <x v="2"/>
    <x v="0"/>
    <n v="2"/>
    <n v="0"/>
    <n v="1"/>
    <n v="0"/>
    <n v="4"/>
    <n v="3"/>
    <n v="1"/>
    <s v="SQL (Basic)"/>
    <n v="23"/>
    <n v="3075465"/>
    <n v="3"/>
    <n v="4"/>
    <n v="382"/>
    <s v="23p31a1203@aect.dummy.in"/>
  </r>
  <r>
    <x v="479"/>
    <x v="2"/>
    <x v="0"/>
    <n v="4"/>
    <n v="0"/>
    <n v="0"/>
    <n v="4"/>
    <n v="1"/>
    <n v="4"/>
    <n v="1"/>
    <s v="Problem Solving (Basic)"/>
    <n v="318"/>
    <n v="328420"/>
    <n v="18"/>
    <n v="42"/>
    <n v="19"/>
    <s v="23p31a1205@aect.dummy.in"/>
  </r>
  <r>
    <x v="480"/>
    <x v="2"/>
    <x v="0"/>
    <n v="3"/>
    <n v="0"/>
    <n v="0"/>
    <n v="0"/>
    <n v="3"/>
    <n v="3"/>
    <n v="1"/>
    <s v="SQL (Basic)"/>
    <n v="20"/>
    <n v="3294200"/>
    <n v="0"/>
    <n v="0"/>
    <n v="4"/>
    <s v="23p31a1206@aect.dummy.in"/>
  </r>
  <r>
    <x v="481"/>
    <x v="2"/>
    <x v="0"/>
    <n v="5"/>
    <n v="0"/>
    <n v="0"/>
    <n v="0"/>
    <n v="5"/>
    <n v="2"/>
    <n v="2"/>
    <s v="Problem Solving (Basic),SQL (Basic)"/>
    <n v="76"/>
    <n v="1488171"/>
    <n v="8"/>
    <n v="13"/>
    <n v="8"/>
    <s v="23p31a1208@aect.dummy.in"/>
  </r>
  <r>
    <x v="482"/>
    <x v="2"/>
    <x v="0"/>
    <n v="4"/>
    <n v="0"/>
    <n v="1"/>
    <n v="2"/>
    <n v="4"/>
    <n v="4"/>
    <n v="2"/>
    <s v="SQL (Basic),SQL (Intermediate)"/>
    <n v="46"/>
    <n v="2090096"/>
    <n v="38"/>
    <n v="50"/>
    <n v="1198"/>
    <s v="23p31a1209@aect.dummy.in"/>
  </r>
  <r>
    <x v="483"/>
    <x v="2"/>
    <x v="1"/>
    <n v="2"/>
    <n v="0"/>
    <n v="1"/>
    <n v="1"/>
    <n v="0"/>
    <n v="4"/>
    <n v="0"/>
    <s v="Null"/>
    <n v="25"/>
    <n v="2942970"/>
    <n v="13"/>
    <n v="19"/>
    <n v="601"/>
    <s v="23p31a1210@aect.dummy.in"/>
  </r>
  <r>
    <x v="484"/>
    <x v="2"/>
    <x v="1"/>
    <n v="4"/>
    <n v="0"/>
    <n v="0"/>
    <n v="0"/>
    <n v="3"/>
    <n v="2"/>
    <n v="5"/>
    <s v="Problem Solving (Basic),Problem Solving (Intermediate),JavaScript (Basic),Python (Basic),SQL (Basic)"/>
    <n v="14"/>
    <n v="3892724"/>
    <n v="0"/>
    <n v="0"/>
    <n v="0"/>
    <s v="23p31a1211@aect.dummy.in"/>
  </r>
  <r>
    <x v="485"/>
    <x v="2"/>
    <x v="1"/>
    <n v="4"/>
    <n v="0"/>
    <n v="2"/>
    <n v="2"/>
    <n v="3"/>
    <n v="5"/>
    <n v="2"/>
    <s v="SQL (Basic),SQL (Intermediate)"/>
    <n v="58"/>
    <n v="1793952"/>
    <n v="35"/>
    <n v="46"/>
    <n v="500"/>
    <s v="23p31a1212@aect.dummy.in"/>
  </r>
  <r>
    <x v="486"/>
    <x v="2"/>
    <x v="1"/>
    <n v="5"/>
    <n v="5"/>
    <n v="5"/>
    <n v="5"/>
    <n v="5"/>
    <n v="6"/>
    <n v="16"/>
    <s v="Problem Solving (Basic),Problem Solving (Intermediate),Java (Basic),Python (Basic),JavaScript (Basic),JavaScript (Intermediate),Go (Basic),SQL (Basic),SQL (Intermediate),SQL (Advanced),R (Basic),C# (Basic),Software Engineer Intern,Software Engineer,Rest API (Intermediate),Angular (Basic)"/>
    <n v="677"/>
    <n v="71047"/>
    <n v="243"/>
    <n v="353"/>
    <n v="68"/>
    <s v="23p31a1216@aect.dummy.in"/>
  </r>
  <r>
    <x v="487"/>
    <x v="2"/>
    <x v="1"/>
    <n v="5"/>
    <n v="0"/>
    <n v="0"/>
    <n v="2"/>
    <n v="3"/>
    <n v="3"/>
    <n v="2"/>
    <s v="SQL (Basic),SQL (Intermediate)"/>
    <n v="134"/>
    <n v="932098"/>
    <n v="23"/>
    <n v="34"/>
    <n v="841"/>
    <s v="23p31a1218@aect.dummy.in"/>
  </r>
  <r>
    <x v="488"/>
    <x v="2"/>
    <x v="1"/>
    <n v="4"/>
    <n v="2"/>
    <n v="1"/>
    <n v="3"/>
    <n v="4"/>
    <n v="6"/>
    <n v="2"/>
    <s v="SQL (Basic),SQL (Intermediate)"/>
    <n v="105"/>
    <n v="1157383"/>
    <n v="82"/>
    <n v="243"/>
    <n v="566"/>
    <s v="23p31a1221@aect.dummy.in"/>
  </r>
  <r>
    <x v="489"/>
    <x v="2"/>
    <x v="1"/>
    <n v="4"/>
    <n v="1"/>
    <n v="2"/>
    <n v="3"/>
    <n v="3"/>
    <n v="6"/>
    <n v="2"/>
    <s v="SQL (Basic),SQL (Intermediate)"/>
    <n v="110"/>
    <n v="1112499"/>
    <n v="45"/>
    <n v="75"/>
    <n v="378"/>
    <s v="23p31a1222@aect.dummy.in"/>
  </r>
  <r>
    <x v="490"/>
    <x v="2"/>
    <x v="1"/>
    <n v="3"/>
    <n v="0"/>
    <n v="0"/>
    <n v="0"/>
    <n v="4"/>
    <n v="3"/>
    <n v="2"/>
    <s v="SQL (Basic),SQL (Intermediate)"/>
    <n v="38"/>
    <n v="2342014"/>
    <n v="2"/>
    <n v="2"/>
    <n v="240"/>
    <s v="23p31a1223@aect.dummy.in"/>
  </r>
  <r>
    <x v="491"/>
    <x v="2"/>
    <x v="1"/>
    <n v="3"/>
    <n v="0"/>
    <n v="0"/>
    <n v="0"/>
    <n v="4"/>
    <n v="3"/>
    <n v="1"/>
    <s v="SQL (Basic)"/>
    <n v="66"/>
    <n v="1642927"/>
    <n v="0"/>
    <n v="0"/>
    <n v="157"/>
    <s v="23p31a1225@aect.dummy.in"/>
  </r>
  <r>
    <x v="492"/>
    <x v="2"/>
    <x v="1"/>
    <n v="3"/>
    <n v="0"/>
    <n v="0"/>
    <n v="0"/>
    <n v="2"/>
    <n v="2"/>
    <n v="1"/>
    <s v="SQL (Basic)"/>
    <n v="7"/>
    <n v="5000001"/>
    <n v="0"/>
    <n v="0"/>
    <n v="331"/>
    <s v="23p31a1226@aect.dummy.in"/>
  </r>
  <r>
    <x v="493"/>
    <x v="2"/>
    <x v="1"/>
    <n v="3"/>
    <n v="0"/>
    <n v="2"/>
    <n v="2"/>
    <n v="4"/>
    <n v="4"/>
    <n v="1"/>
    <s v="SQL (Basic)"/>
    <n v="74"/>
    <n v="1516981"/>
    <n v="23"/>
    <n v="45"/>
    <n v="1240"/>
    <s v="23p31a1227@aect.dummy.in"/>
  </r>
  <r>
    <x v="494"/>
    <x v="2"/>
    <x v="1"/>
    <n v="3"/>
    <n v="0"/>
    <n v="0"/>
    <n v="3"/>
    <n v="4"/>
    <n v="4"/>
    <n v="2"/>
    <s v="SQL (Basic),SQL (Intermediate)"/>
    <n v="91"/>
    <n v="1299229"/>
    <n v="59"/>
    <n v="198"/>
    <n v="146"/>
    <s v="23p31a1228@aect.dummy.in"/>
  </r>
  <r>
    <x v="495"/>
    <x v="2"/>
    <x v="1"/>
    <n v="3"/>
    <n v="0"/>
    <n v="1"/>
    <n v="0"/>
    <n v="4"/>
    <n v="3"/>
    <n v="1"/>
    <s v="SQL (Basic)"/>
    <n v="33"/>
    <n v="2540970"/>
    <n v="1"/>
    <n v="1"/>
    <n v="540"/>
    <s v="23p31a1230@aect.dummy.in"/>
  </r>
  <r>
    <x v="496"/>
    <x v="2"/>
    <x v="1"/>
    <n v="0"/>
    <n v="0"/>
    <n v="0"/>
    <n v="0"/>
    <n v="0"/>
    <n v="0"/>
    <n v="0"/>
    <s v="Null"/>
    <n v="0"/>
    <n v="5000001"/>
    <n v="0"/>
    <n v="0"/>
    <n v="11"/>
    <s v="23p31a1231@aect.dummy.in"/>
  </r>
  <r>
    <x v="497"/>
    <x v="2"/>
    <x v="1"/>
    <n v="3"/>
    <n v="1"/>
    <n v="2"/>
    <n v="2"/>
    <n v="1"/>
    <n v="6"/>
    <n v="4"/>
    <s v="Problem Solving (Basic),SQL (Basic),SQL (Intermediate),SQL (Advanced)"/>
    <n v="24"/>
    <n v="3004913"/>
    <n v="15"/>
    <n v="23"/>
    <n v="585"/>
    <s v="23p31a1232@aect.dummy.in"/>
  </r>
  <r>
    <x v="498"/>
    <x v="2"/>
    <x v="1"/>
    <n v="0"/>
    <n v="0"/>
    <n v="0"/>
    <n v="0"/>
    <n v="0"/>
    <n v="0"/>
    <n v="0"/>
    <s v="Null"/>
    <n v="1"/>
    <n v="5000001"/>
    <n v="0"/>
    <n v="0"/>
    <n v="2"/>
    <s v="23p31a1235@aect.dummy.in"/>
  </r>
  <r>
    <x v="499"/>
    <x v="2"/>
    <x v="1"/>
    <n v="1"/>
    <n v="0"/>
    <n v="0"/>
    <n v="0"/>
    <n v="2"/>
    <n v="2"/>
    <n v="1"/>
    <s v="SQL (Basic)"/>
    <n v="10"/>
    <n v="4512615"/>
    <n v="0"/>
    <n v="0"/>
    <n v="324"/>
    <s v="23p31a1249@aect.dummy.in"/>
  </r>
  <r>
    <x v="500"/>
    <x v="2"/>
    <x v="1"/>
    <n v="1"/>
    <n v="0"/>
    <n v="2"/>
    <n v="0"/>
    <n v="5"/>
    <n v="3"/>
    <n v="4"/>
    <s v="Python (Basic),Problem Solving (Basic),SQL (Basic),SQL (Intermediate)"/>
    <n v="165"/>
    <n v="755250"/>
    <n v="62"/>
    <n v="179"/>
    <n v="501"/>
    <s v="23p31a1250@aect.dummy.in"/>
  </r>
  <r>
    <x v="501"/>
    <x v="2"/>
    <x v="1"/>
    <n v="0"/>
    <n v="0"/>
    <n v="0"/>
    <n v="0"/>
    <n v="0"/>
    <n v="0"/>
    <n v="0"/>
    <s v="Null"/>
    <n v="0"/>
    <n v="5000001"/>
    <n v="0"/>
    <n v="0"/>
    <n v="12"/>
    <s v="23p31a1253@aect.dummy.in"/>
  </r>
  <r>
    <x v="502"/>
    <x v="2"/>
    <x v="1"/>
    <n v="0"/>
    <n v="0"/>
    <n v="0"/>
    <n v="0"/>
    <n v="1"/>
    <n v="1"/>
    <n v="0"/>
    <s v="Null"/>
    <n v="0"/>
    <n v="5000001"/>
    <n v="0"/>
    <n v="0"/>
    <n v="44"/>
    <s v="23p31a1264@aect.dummy.in"/>
  </r>
  <r>
    <x v="503"/>
    <x v="2"/>
    <x v="1"/>
    <n v="0"/>
    <n v="0"/>
    <n v="0"/>
    <n v="0"/>
    <n v="1"/>
    <n v="1"/>
    <n v="1"/>
    <s v="SQL (Basic)"/>
    <n v="10"/>
    <n v="4503233"/>
    <n v="0"/>
    <n v="0"/>
    <n v="22"/>
    <s v="23p31a1266@aect.dummy.in"/>
  </r>
  <r>
    <x v="504"/>
    <x v="2"/>
    <x v="1"/>
    <n v="1"/>
    <n v="0"/>
    <n v="0"/>
    <n v="3"/>
    <n v="1"/>
    <n v="3"/>
    <n v="2"/>
    <s v="Python (Basic),SQL (Basic)"/>
    <n v="0"/>
    <n v="5000001"/>
    <n v="0"/>
    <n v="0"/>
    <n v="0"/>
    <s v="23p31a1271@aect.dummy.in"/>
  </r>
  <r>
    <x v="505"/>
    <x v="2"/>
    <x v="1"/>
    <n v="1"/>
    <n v="0"/>
    <n v="0"/>
    <n v="0"/>
    <n v="0"/>
    <n v="1"/>
    <n v="2"/>
    <s v="Python (Basic),SQL (Basic)"/>
    <n v="0"/>
    <n v="5000001"/>
    <n v="0"/>
    <n v="0"/>
    <n v="0"/>
    <s v="23p31a1277@aect.dummy.in"/>
  </r>
  <r>
    <x v="506"/>
    <x v="2"/>
    <x v="1"/>
    <n v="0"/>
    <n v="0"/>
    <n v="0"/>
    <n v="0"/>
    <n v="2"/>
    <n v="1"/>
    <n v="1"/>
    <s v="SQL (Intermediate)"/>
    <n v="0"/>
    <n v="0"/>
    <n v="0"/>
    <n v="0"/>
    <n v="101"/>
    <s v="23p31a1285@aect.dummy.in"/>
  </r>
  <r>
    <x v="507"/>
    <x v="2"/>
    <x v="1"/>
    <n v="4"/>
    <n v="0"/>
    <n v="1"/>
    <n v="4"/>
    <n v="5"/>
    <n v="4"/>
    <n v="4"/>
    <s v="Python (Basic),SQL (Basic),Problem Solving (Basic),SQL (Intermediate)"/>
    <n v="54"/>
    <n v="1883793"/>
    <n v="43"/>
    <n v="60"/>
    <n v="353"/>
    <s v="23p31a1289@aect.dummy.in"/>
  </r>
  <r>
    <x v="508"/>
    <x v="2"/>
    <x v="1"/>
    <n v="2"/>
    <n v="0"/>
    <n v="0"/>
    <n v="3"/>
    <n v="5"/>
    <n v="3"/>
    <n v="2"/>
    <s v="Python (Basic),SQL (Basic)"/>
    <n v="22"/>
    <n v="3151199"/>
    <n v="0"/>
    <n v="0"/>
    <n v="20"/>
    <s v="23p31a1293@aect.dummy.in"/>
  </r>
  <r>
    <x v="509"/>
    <x v="2"/>
    <x v="1"/>
    <n v="0"/>
    <n v="0"/>
    <n v="0"/>
    <n v="0"/>
    <n v="0"/>
    <n v="0"/>
    <n v="0"/>
    <s v="Null"/>
    <n v="0"/>
    <n v="5000001"/>
    <n v="0"/>
    <n v="0"/>
    <n v="0"/>
    <s v="23p31a12a8@aect.dummy.in"/>
  </r>
  <r>
    <x v="510"/>
    <x v="2"/>
    <x v="1"/>
    <n v="0"/>
    <n v="0"/>
    <n v="2"/>
    <n v="0"/>
    <n v="0"/>
    <n v="1"/>
    <n v="1"/>
    <s v="SQL (Basic)"/>
    <n v="0"/>
    <n v="5000001"/>
    <n v="0"/>
    <n v="0"/>
    <n v="48"/>
    <s v="23p31a12a9@aect.dummy.in"/>
  </r>
  <r>
    <x v="511"/>
    <x v="2"/>
    <x v="1"/>
    <n v="1"/>
    <n v="0"/>
    <n v="0"/>
    <n v="0"/>
    <n v="4"/>
    <n v="2"/>
    <n v="2"/>
    <s v="SQL (Basic),SQL (Intermediate)"/>
    <n v="20"/>
    <n v="3307411"/>
    <n v="0"/>
    <n v="0"/>
    <n v="21"/>
    <s v="23p31a12b5@aect.dummy.in"/>
  </r>
  <r>
    <x v="512"/>
    <x v="2"/>
    <x v="1"/>
    <n v="1"/>
    <n v="0"/>
    <n v="3"/>
    <n v="0"/>
    <n v="4"/>
    <n v="3"/>
    <n v="3"/>
    <s v="Python (Basic),SQL (Basic),SQL (Intermediate)"/>
    <n v="36"/>
    <n v="2420866"/>
    <n v="4"/>
    <n v="6"/>
    <n v="338"/>
    <s v="23p31a12b7@aect.dummy.in"/>
  </r>
  <r>
    <x v="513"/>
    <x v="2"/>
    <x v="1"/>
    <n v="0"/>
    <n v="0"/>
    <n v="1"/>
    <n v="0"/>
    <n v="0"/>
    <n v="1"/>
    <n v="0"/>
    <s v="Null"/>
    <n v="13"/>
    <n v="4036921"/>
    <n v="2"/>
    <n v="4"/>
    <n v="91"/>
    <s v="23p31a12c5@aect.dummy.in"/>
  </r>
  <r>
    <x v="514"/>
    <x v="2"/>
    <x v="1"/>
    <n v="1"/>
    <n v="0"/>
    <n v="0"/>
    <n v="4"/>
    <n v="4"/>
    <n v="3"/>
    <n v="2"/>
    <s v="Python (Basic),SQL (Basic)"/>
    <n v="20"/>
    <n v="3300356"/>
    <n v="49"/>
    <n v="68"/>
    <n v="261"/>
    <s v="23p31a12d0@aect.dummy.in"/>
  </r>
  <r>
    <x v="515"/>
    <x v="2"/>
    <x v="1"/>
    <n v="3"/>
    <n v="0"/>
    <n v="2"/>
    <n v="0"/>
    <n v="4"/>
    <n v="3"/>
    <n v="2"/>
    <s v="SQL (Basic),SQL (Intermediate)"/>
    <n v="73"/>
    <n v="1531684"/>
    <n v="67"/>
    <n v="125"/>
    <n v="314"/>
    <s v="23p31a4202@aect.dummy.in"/>
  </r>
  <r>
    <x v="516"/>
    <x v="2"/>
    <x v="1"/>
    <n v="3"/>
    <n v="3"/>
    <n v="2"/>
    <n v="3"/>
    <n v="4"/>
    <n v="6"/>
    <n v="2"/>
    <s v="SQL (Basic),SQL (Intermediate)"/>
    <n v="179"/>
    <n v="691923"/>
    <n v="208"/>
    <n v="334"/>
    <n v="716"/>
    <s v="23p31a4203@aect.dummy.in"/>
  </r>
  <r>
    <x v="517"/>
    <x v="2"/>
    <x v="1"/>
    <n v="0"/>
    <n v="0"/>
    <n v="0"/>
    <n v="0"/>
    <n v="0"/>
    <n v="0"/>
    <n v="0"/>
    <s v="Null"/>
    <n v="9"/>
    <n v="4656154"/>
    <n v="0"/>
    <n v="0"/>
    <n v="0"/>
    <s v="23p31a4205@aect.dummy.in"/>
  </r>
  <r>
    <x v="518"/>
    <x v="2"/>
    <x v="1"/>
    <n v="4"/>
    <n v="0"/>
    <n v="0"/>
    <n v="1"/>
    <n v="4"/>
    <n v="3"/>
    <n v="2"/>
    <s v="SQL (Basic),SQL (Intermediate)"/>
    <n v="134"/>
    <n v="931909"/>
    <n v="0"/>
    <n v="0"/>
    <n v="778"/>
    <s v="23p31a4207@aect.dummy.in"/>
  </r>
  <r>
    <x v="519"/>
    <x v="2"/>
    <x v="1"/>
    <n v="4"/>
    <n v="0"/>
    <n v="1"/>
    <n v="2"/>
    <n v="5"/>
    <n v="4"/>
    <n v="2"/>
    <s v="SQL (Basic),SQL (Intermediate)"/>
    <n v="40"/>
    <n v="2273836"/>
    <n v="1"/>
    <n v="2"/>
    <n v="100"/>
    <s v="23p31a4209@aect.dummy.in"/>
  </r>
  <r>
    <x v="520"/>
    <x v="2"/>
    <x v="1"/>
    <n v="3"/>
    <n v="0"/>
    <n v="2"/>
    <n v="2"/>
    <n v="4"/>
    <n v="4"/>
    <n v="3"/>
    <s v="SQL (Basic),SQL (Intermediate),SQL (Advanced)"/>
    <n v="184"/>
    <n v="671750"/>
    <n v="86"/>
    <n v="193"/>
    <n v="421"/>
    <s v="23p31a4210@aect.dummy.in"/>
  </r>
  <r>
    <x v="521"/>
    <x v="2"/>
    <x v="1"/>
    <n v="5"/>
    <n v="5"/>
    <n v="5"/>
    <n v="5"/>
    <n v="5"/>
    <n v="6"/>
    <n v="2"/>
    <s v="SQL (Intermediate),SQL (Basic)"/>
    <n v="454"/>
    <n v="178069"/>
    <n v="280"/>
    <n v="816"/>
    <n v="176"/>
    <s v="23p31a4211@aect.dummy.in"/>
  </r>
  <r>
    <x v="522"/>
    <x v="2"/>
    <x v="1"/>
    <n v="3"/>
    <n v="0"/>
    <n v="0"/>
    <n v="0"/>
    <n v="5"/>
    <n v="2"/>
    <n v="2"/>
    <s v="SQL (Basic),SQL (Intermediate)"/>
    <n v="25"/>
    <n v="2943815"/>
    <n v="2"/>
    <n v="6"/>
    <n v="537"/>
    <s v="23p31a4213@aect.dummy.in"/>
  </r>
  <r>
    <x v="523"/>
    <x v="2"/>
    <x v="1"/>
    <n v="1"/>
    <n v="0"/>
    <n v="0"/>
    <n v="0"/>
    <n v="3"/>
    <n v="2"/>
    <n v="2"/>
    <s v="SQL (Basic),SQL (Intermediate)"/>
    <n v="28"/>
    <n v="2779956"/>
    <n v="0"/>
    <n v="0"/>
    <n v="537"/>
    <s v="23p31a4214@aect.dummy.in"/>
  </r>
  <r>
    <x v="524"/>
    <x v="2"/>
    <x v="1"/>
    <n v="0"/>
    <n v="0"/>
    <n v="2"/>
    <n v="3"/>
    <n v="4"/>
    <n v="4"/>
    <n v="1"/>
    <s v="SQL (Basic)"/>
    <n v="77"/>
    <n v="1472251"/>
    <n v="124"/>
    <n v="190"/>
    <n v="726"/>
    <s v="23p31a4215@aect.dummy.in"/>
  </r>
  <r>
    <x v="525"/>
    <x v="2"/>
    <x v="1"/>
    <n v="3"/>
    <n v="0"/>
    <n v="0"/>
    <n v="3"/>
    <n v="5"/>
    <n v="4"/>
    <n v="2"/>
    <s v="SQL (Basic),SQL (Intermediate)"/>
    <n v="87"/>
    <n v="1342648"/>
    <n v="9"/>
    <n v="16"/>
    <n v="301"/>
    <s v="23p31a4216@aect.dummy.in"/>
  </r>
  <r>
    <x v="526"/>
    <x v="2"/>
    <x v="1"/>
    <n v="4"/>
    <n v="0"/>
    <n v="4"/>
    <n v="5"/>
    <n v="4"/>
    <n v="5"/>
    <n v="3"/>
    <s v="SQL (Basic),SQL (Intermediate),SQL (Advanced)"/>
    <n v="70"/>
    <n v="1578327"/>
    <n v="214"/>
    <n v="364"/>
    <n v="473"/>
    <s v="23p31a4217@aect.dummy.in"/>
  </r>
  <r>
    <x v="527"/>
    <x v="2"/>
    <x v="1"/>
    <n v="4"/>
    <n v="0"/>
    <n v="3"/>
    <n v="2"/>
    <n v="5"/>
    <n v="5"/>
    <n v="2"/>
    <s v="SQL (Basic),SQL (Intermediate)"/>
    <n v="109"/>
    <n v="1121025"/>
    <n v="56"/>
    <n v="102"/>
    <n v="351"/>
    <s v="23p31a4218@aect.dummy.in"/>
  </r>
  <r>
    <x v="528"/>
    <x v="2"/>
    <x v="1"/>
    <n v="4"/>
    <n v="0"/>
    <n v="3"/>
    <n v="4"/>
    <n v="4"/>
    <n v="4"/>
    <n v="2"/>
    <s v="SQL (Basic),SQL (Intermediate)"/>
    <n v="0"/>
    <n v="5000001"/>
    <n v="59"/>
    <n v="111"/>
    <n v="164"/>
    <s v="23p31a4220@aect.dummy.in"/>
  </r>
  <r>
    <x v="529"/>
    <x v="2"/>
    <x v="1"/>
    <n v="0"/>
    <n v="0"/>
    <n v="0"/>
    <n v="0"/>
    <n v="0"/>
    <n v="0"/>
    <n v="0"/>
    <s v="Null"/>
    <n v="60"/>
    <n v="1755135"/>
    <n v="0"/>
    <n v="0"/>
    <n v="222"/>
    <s v="23p31a4221@aect.dummy.in"/>
  </r>
  <r>
    <x v="530"/>
    <x v="2"/>
    <x v="1"/>
    <n v="2"/>
    <n v="0"/>
    <n v="0"/>
    <n v="1"/>
    <n v="4"/>
    <n v="3"/>
    <n v="2"/>
    <s v="SQL (Basic),SQL (Intermediate)"/>
    <n v="347"/>
    <n v="286199"/>
    <n v="147"/>
    <n v="406"/>
    <n v="85"/>
    <s v="23p31a4222@aect.dummy.in"/>
  </r>
  <r>
    <x v="531"/>
    <x v="2"/>
    <x v="1"/>
    <n v="4"/>
    <n v="0"/>
    <n v="0"/>
    <n v="0"/>
    <n v="3"/>
    <n v="2"/>
    <n v="1"/>
    <s v="SQL (Basic)"/>
    <n v="10"/>
    <n v="4474893"/>
    <n v="2"/>
    <n v="6"/>
    <n v="218"/>
    <s v="23p31a4223@aect.dummy.in"/>
  </r>
  <r>
    <x v="532"/>
    <x v="2"/>
    <x v="1"/>
    <n v="3"/>
    <n v="0"/>
    <n v="1"/>
    <n v="1"/>
    <n v="5"/>
    <n v="5"/>
    <n v="3"/>
    <s v="SQL (Basic),SQL (Intermediate),SQL (Advanced)"/>
    <n v="96"/>
    <n v="1246864"/>
    <n v="24"/>
    <n v="37"/>
    <n v="452"/>
    <s v="23p31a4224@aect.dummy.in"/>
  </r>
  <r>
    <x v="533"/>
    <x v="2"/>
    <x v="1"/>
    <n v="3"/>
    <n v="3"/>
    <n v="2"/>
    <n v="3"/>
    <n v="5"/>
    <n v="6"/>
    <n v="2"/>
    <s v="SQL (Basic),SQL (Intermediate)"/>
    <n v="173"/>
    <n v="717935"/>
    <n v="156"/>
    <n v="268"/>
    <n v="607"/>
    <s v="23p31a4225@aect.dummy.in"/>
  </r>
  <r>
    <x v="534"/>
    <x v="2"/>
    <x v="1"/>
    <n v="4"/>
    <n v="3"/>
    <n v="0"/>
    <n v="3"/>
    <n v="5"/>
    <n v="5"/>
    <n v="3"/>
    <s v="Python (Basic),SQL (Basic),SQL (Intermediate)"/>
    <n v="315"/>
    <n v="333233"/>
    <n v="194"/>
    <n v="456"/>
    <n v="288"/>
    <s v="23p31a4227@aect.dummy.in"/>
  </r>
  <r>
    <x v="535"/>
    <x v="2"/>
    <x v="1"/>
    <n v="4"/>
    <n v="4"/>
    <n v="2"/>
    <n v="3"/>
    <n v="5"/>
    <n v="6"/>
    <n v="2"/>
    <s v="SQL (Basic),SQL (Intermediate)"/>
    <n v="388"/>
    <n v="237685"/>
    <n v="226"/>
    <n v="462"/>
    <n v="632"/>
    <s v="23p31a4229@aect.dummy.in"/>
  </r>
  <r>
    <x v="536"/>
    <x v="2"/>
    <x v="1"/>
    <n v="3"/>
    <n v="0"/>
    <n v="0"/>
    <n v="0"/>
    <n v="4"/>
    <n v="3"/>
    <n v="1"/>
    <s v="SQL (Basic)"/>
    <n v="48"/>
    <n v="2035959"/>
    <n v="1"/>
    <n v="2"/>
    <n v="126"/>
    <s v="23p31a4230@aect.dummy.in"/>
  </r>
  <r>
    <x v="537"/>
    <x v="2"/>
    <x v="1"/>
    <n v="3"/>
    <n v="0"/>
    <n v="0"/>
    <n v="1"/>
    <n v="0"/>
    <n v="2"/>
    <n v="0"/>
    <s v="Null"/>
    <n v="45"/>
    <n v="2119965"/>
    <n v="13"/>
    <n v="25"/>
    <n v="717"/>
    <s v="23p31a4231@aect.dummy.in"/>
  </r>
  <r>
    <x v="538"/>
    <x v="2"/>
    <x v="1"/>
    <n v="1"/>
    <n v="0"/>
    <n v="0"/>
    <n v="0"/>
    <n v="4"/>
    <n v="2"/>
    <n v="2"/>
    <s v="SQL (Basic),SQL (Intermediate)"/>
    <n v="57"/>
    <n v="1816271"/>
    <n v="0"/>
    <n v="0"/>
    <n v="421"/>
    <s v="23p31a4232@aect.dummy.in"/>
  </r>
  <r>
    <x v="539"/>
    <x v="2"/>
    <x v="1"/>
    <n v="3"/>
    <n v="0"/>
    <n v="0"/>
    <n v="1"/>
    <n v="4"/>
    <n v="4"/>
    <n v="2"/>
    <s v="SQL (Basic),SQL (Intermediate)"/>
    <n v="70"/>
    <n v="1577273"/>
    <n v="136"/>
    <n v="202"/>
    <n v="684"/>
    <s v="23p31a4235@aect.dummy.in"/>
  </r>
  <r>
    <x v="540"/>
    <x v="2"/>
    <x v="1"/>
    <n v="4"/>
    <n v="0"/>
    <n v="0"/>
    <n v="0"/>
    <n v="4"/>
    <n v="3"/>
    <n v="2"/>
    <s v="SQL (Basic),SQL (Intermediate)"/>
    <n v="118"/>
    <n v="1047335"/>
    <n v="2"/>
    <n v="4"/>
    <n v="266"/>
    <s v="23p31a4236@aect.dummy.in"/>
  </r>
  <r>
    <x v="541"/>
    <x v="2"/>
    <x v="1"/>
    <n v="3"/>
    <n v="0"/>
    <n v="0"/>
    <n v="2"/>
    <n v="3"/>
    <n v="3"/>
    <n v="2"/>
    <s v="SQL (Basic),SQL (Intermediate)"/>
    <n v="20"/>
    <n v="3298982"/>
    <n v="10"/>
    <n v="17"/>
    <n v="107"/>
    <s v="23p31a4237@aect.dummy.in"/>
  </r>
  <r>
    <x v="542"/>
    <x v="2"/>
    <x v="1"/>
    <n v="3"/>
    <n v="0"/>
    <n v="2"/>
    <n v="3"/>
    <n v="5"/>
    <n v="5"/>
    <n v="2"/>
    <s v="SQL (Basic),SQL (Intermediate)"/>
    <n v="98"/>
    <n v="1227256"/>
    <n v="59"/>
    <n v="88"/>
    <n v="7"/>
    <s v="23p31a4238@aect.dummy.in"/>
  </r>
  <r>
    <x v="543"/>
    <x v="2"/>
    <x v="1"/>
    <n v="3"/>
    <n v="0"/>
    <n v="0"/>
    <n v="0"/>
    <n v="3"/>
    <n v="2"/>
    <n v="2"/>
    <s v="SQL (Basic),SQL (Intermediate)"/>
    <n v="11"/>
    <n v="4312045"/>
    <n v="1"/>
    <n v="4"/>
    <n v="39"/>
    <s v="23p31a4240@aect.dummy.in"/>
  </r>
  <r>
    <x v="544"/>
    <x v="2"/>
    <x v="1"/>
    <n v="2"/>
    <n v="0"/>
    <n v="0"/>
    <n v="0"/>
    <n v="3"/>
    <n v="2"/>
    <n v="0"/>
    <s v="Null"/>
    <n v="84"/>
    <n v="1380860"/>
    <n v="27"/>
    <n v="78"/>
    <n v="68"/>
    <s v="23p31a4241@aect.dummy.in"/>
  </r>
  <r>
    <x v="545"/>
    <x v="2"/>
    <x v="1"/>
    <n v="3"/>
    <n v="0"/>
    <n v="3"/>
    <n v="3"/>
    <n v="4"/>
    <n v="4"/>
    <n v="2"/>
    <s v="SQL (Basic),SQL (Intermediate)"/>
    <n v="45"/>
    <n v="2117886"/>
    <n v="9"/>
    <n v="13"/>
    <n v="270"/>
    <s v="23p31a4242@aect.dummy.in"/>
  </r>
  <r>
    <x v="546"/>
    <x v="2"/>
    <x v="1"/>
    <n v="1"/>
    <n v="0"/>
    <n v="0"/>
    <n v="0"/>
    <n v="4"/>
    <n v="2"/>
    <n v="2"/>
    <s v="SQL (Basic),SQL (Intermediate)"/>
    <n v="50"/>
    <n v="1983886"/>
    <n v="7"/>
    <n v="16"/>
    <n v="357"/>
    <s v="23p31a4243@aect.dummy.in"/>
  </r>
  <r>
    <x v="547"/>
    <x v="2"/>
    <x v="1"/>
    <n v="0"/>
    <n v="0"/>
    <n v="0"/>
    <n v="0"/>
    <n v="5"/>
    <n v="1"/>
    <n v="2"/>
    <s v="SQL (Basic),SQL (Intermediate)"/>
    <n v="9"/>
    <n v="4699043"/>
    <n v="0"/>
    <n v="0"/>
    <n v="0"/>
    <s v="23p31a4244@aect.dummy.in"/>
  </r>
  <r>
    <x v="548"/>
    <x v="2"/>
    <x v="1"/>
    <n v="4"/>
    <n v="3"/>
    <n v="1"/>
    <n v="3"/>
    <n v="1"/>
    <n v="6"/>
    <n v="1"/>
    <s v="SQL (Basic)"/>
    <n v="107"/>
    <n v="1139893"/>
    <n v="46"/>
    <n v="159"/>
    <n v="370"/>
    <s v="23p31a4245@aect.dummy.in"/>
  </r>
  <r>
    <x v="549"/>
    <x v="2"/>
    <x v="1"/>
    <n v="0"/>
    <n v="3"/>
    <n v="0"/>
    <n v="0"/>
    <n v="3"/>
    <n v="2"/>
    <n v="2"/>
    <s v="SQL (Basic),SQL (Intermediate)"/>
    <n v="9"/>
    <n v="4681650"/>
    <n v="0"/>
    <n v="0"/>
    <n v="7"/>
    <s v="23p31a4246@aect.dummy.in"/>
  </r>
  <r>
    <x v="550"/>
    <x v="2"/>
    <x v="1"/>
    <n v="1"/>
    <n v="0"/>
    <n v="0"/>
    <n v="0"/>
    <n v="3"/>
    <n v="2"/>
    <n v="1"/>
    <s v="SQL (Basic)"/>
    <n v="13"/>
    <n v="4012798"/>
    <n v="0"/>
    <n v="0"/>
    <n v="3"/>
    <s v="23p31a4247@aect.dummy.in"/>
  </r>
  <r>
    <x v="551"/>
    <x v="2"/>
    <x v="1"/>
    <n v="4"/>
    <n v="1"/>
    <n v="3"/>
    <n v="3"/>
    <n v="3"/>
    <n v="6"/>
    <n v="2"/>
    <s v="SQL (Basic),SQL (Intermediate)"/>
    <n v="21"/>
    <n v="3222683"/>
    <n v="1"/>
    <n v="2"/>
    <n v="222"/>
    <s v="23p31a4248@aect.dummy.in"/>
  </r>
  <r>
    <x v="552"/>
    <x v="2"/>
    <x v="1"/>
    <n v="4"/>
    <n v="0"/>
    <n v="0"/>
    <n v="0"/>
    <n v="5"/>
    <n v="3"/>
    <n v="0"/>
    <s v="Null"/>
    <n v="373"/>
    <n v="254022"/>
    <n v="264"/>
    <n v="781"/>
    <n v="14"/>
    <s v="23p31a4251@aect.dummy.in"/>
  </r>
  <r>
    <x v="553"/>
    <x v="2"/>
    <x v="1"/>
    <n v="2"/>
    <n v="0"/>
    <n v="2"/>
    <n v="2"/>
    <n v="3"/>
    <n v="4"/>
    <n v="1"/>
    <s v="SQL (Intermediate)"/>
    <n v="67"/>
    <n v="1626593"/>
    <n v="9"/>
    <n v="14"/>
    <n v="279"/>
    <s v="23p31a4252@aect.dummy.in"/>
  </r>
  <r>
    <x v="554"/>
    <x v="2"/>
    <x v="1"/>
    <n v="0"/>
    <n v="0"/>
    <n v="0"/>
    <n v="0"/>
    <n v="3"/>
    <n v="2"/>
    <n v="1"/>
    <s v="SQL (Basic)"/>
    <n v="0"/>
    <n v="0"/>
    <n v="2"/>
    <n v="6"/>
    <n v="20"/>
    <s v="23p31a4253@aect.dummy.in"/>
  </r>
  <r>
    <x v="555"/>
    <x v="2"/>
    <x v="1"/>
    <n v="3"/>
    <n v="0"/>
    <n v="0"/>
    <n v="0"/>
    <n v="3"/>
    <n v="2"/>
    <n v="2"/>
    <s v="SQL (Basic),SQL (Intermediate)"/>
    <n v="29"/>
    <n v="2727244"/>
    <n v="2"/>
    <n v="6"/>
    <n v="51"/>
    <s v="23p31a4254@aect.dummy.in"/>
  </r>
  <r>
    <x v="556"/>
    <x v="2"/>
    <x v="1"/>
    <n v="0"/>
    <n v="3"/>
    <n v="0"/>
    <n v="0"/>
    <n v="3"/>
    <n v="2"/>
    <n v="2"/>
    <s v="SQL (Basic),SQL (Intermediate)"/>
    <n v="58"/>
    <n v="1794095"/>
    <n v="0"/>
    <n v="0"/>
    <n v="0"/>
    <s v="23p31a4255@aect.dummy.in"/>
  </r>
  <r>
    <x v="557"/>
    <x v="2"/>
    <x v="1"/>
    <n v="2"/>
    <n v="0"/>
    <n v="0"/>
    <n v="0"/>
    <n v="5"/>
    <n v="2"/>
    <n v="1"/>
    <s v="SQL (Basic)"/>
    <n v="38"/>
    <n v="2338571"/>
    <n v="0"/>
    <n v="0"/>
    <n v="24"/>
    <s v="23p31a4256@aect.dummy.in"/>
  </r>
  <r>
    <x v="558"/>
    <x v="2"/>
    <x v="1"/>
    <n v="3"/>
    <n v="0"/>
    <n v="0"/>
    <n v="0"/>
    <n v="5"/>
    <n v="2"/>
    <n v="2"/>
    <s v="SQL (Basic),SQL (Intermediate)"/>
    <n v="30"/>
    <n v="2679633"/>
    <n v="3"/>
    <n v="3"/>
    <n v="66"/>
    <s v="23p31a4257@aect.dummy.in"/>
  </r>
  <r>
    <x v="559"/>
    <x v="2"/>
    <x v="1"/>
    <n v="3"/>
    <n v="3"/>
    <n v="2"/>
    <n v="3"/>
    <n v="4"/>
    <n v="6"/>
    <n v="2"/>
    <s v="SQL (Basic),SQL (Intermediate)"/>
    <n v="188"/>
    <n v="655744"/>
    <n v="164"/>
    <n v="277"/>
    <n v="701"/>
    <s v="23p31a4259@aect.dummy.in"/>
  </r>
  <r>
    <x v="560"/>
    <x v="2"/>
    <x v="1"/>
    <n v="5"/>
    <n v="0"/>
    <n v="2"/>
    <n v="1"/>
    <n v="4"/>
    <n v="5"/>
    <n v="2"/>
    <s v="Python (Basic),SQL (Basic)"/>
    <n v="52"/>
    <n v="1929569"/>
    <n v="19"/>
    <n v="25"/>
    <n v="932"/>
    <s v="23p31a4261@aect.dummy.in"/>
  </r>
  <r>
    <x v="561"/>
    <x v="2"/>
    <x v="2"/>
    <n v="3"/>
    <n v="2"/>
    <n v="0"/>
    <n v="2"/>
    <n v="5"/>
    <n v="5"/>
    <n v="2"/>
    <s v="SQL (Basic),SQL (Intermediate)"/>
    <n v="49"/>
    <n v="2010068"/>
    <n v="28"/>
    <n v="55"/>
    <n v="370"/>
    <s v="23p31a4263@aect.dummy.in"/>
  </r>
  <r>
    <x v="562"/>
    <x v="2"/>
    <x v="2"/>
    <n v="0"/>
    <n v="0"/>
    <n v="0"/>
    <n v="0"/>
    <n v="0"/>
    <n v="0"/>
    <n v="0"/>
    <s v="Null"/>
    <n v="15"/>
    <n v="3772903"/>
    <n v="4"/>
    <n v="5"/>
    <n v="209"/>
    <s v="23p31a4265@aect.dummy.in"/>
  </r>
  <r>
    <x v="563"/>
    <x v="2"/>
    <x v="2"/>
    <n v="2"/>
    <n v="0"/>
    <n v="0"/>
    <n v="0"/>
    <n v="1"/>
    <n v="2"/>
    <n v="0"/>
    <s v="Null"/>
    <n v="0"/>
    <n v="5000001"/>
    <n v="0"/>
    <n v="0"/>
    <n v="168"/>
    <s v="23p31a4266@aect.dummy.in"/>
  </r>
  <r>
    <x v="564"/>
    <x v="2"/>
    <x v="2"/>
    <n v="4"/>
    <n v="5"/>
    <n v="5"/>
    <n v="5"/>
    <n v="5"/>
    <n v="6"/>
    <n v="2"/>
    <s v="SQL (Intermediate),SQL (Basic)"/>
    <n v="344"/>
    <n v="290220"/>
    <n v="227"/>
    <n v="694"/>
    <n v="15"/>
    <s v="23p31a4267@aect.dummy.in"/>
  </r>
  <r>
    <x v="565"/>
    <x v="2"/>
    <x v="2"/>
    <n v="0"/>
    <n v="0"/>
    <n v="1"/>
    <n v="0"/>
    <n v="4"/>
    <n v="2"/>
    <n v="2"/>
    <s v="SQL (Basic),SQL (Intermediate)"/>
    <n v="13"/>
    <n v="3997277"/>
    <n v="1"/>
    <n v="1"/>
    <n v="14"/>
    <s v="23p31a4268@aect.dummy.in"/>
  </r>
  <r>
    <x v="566"/>
    <x v="2"/>
    <x v="2"/>
    <n v="3"/>
    <n v="0"/>
    <n v="0"/>
    <n v="0"/>
    <n v="3"/>
    <n v="3"/>
    <n v="2"/>
    <s v="SQL (Basic),SQL (Intermediate)"/>
    <n v="50"/>
    <n v="1978679"/>
    <n v="2"/>
    <n v="6"/>
    <n v="401"/>
    <s v="23p31a4271@aect.dummy.in"/>
  </r>
  <r>
    <x v="567"/>
    <x v="2"/>
    <x v="2"/>
    <n v="3"/>
    <n v="0"/>
    <n v="0"/>
    <n v="3"/>
    <n v="4"/>
    <n v="3"/>
    <n v="2"/>
    <s v="SQL (Basic),SQL (Intermediate)"/>
    <n v="35"/>
    <n v="2458087"/>
    <n v="7"/>
    <n v="15"/>
    <n v="593"/>
    <s v="23p31a4272@aect.dummy.in"/>
  </r>
  <r>
    <x v="568"/>
    <x v="2"/>
    <x v="2"/>
    <n v="3"/>
    <n v="0"/>
    <n v="0"/>
    <n v="1"/>
    <n v="4"/>
    <n v="4"/>
    <n v="2"/>
    <s v="SQL (Basic),SQL (Intermediate)"/>
    <n v="39"/>
    <n v="2306957"/>
    <n v="84"/>
    <n v="123"/>
    <n v="250"/>
    <s v="23p31a4274@aect.dummy.in"/>
  </r>
  <r>
    <x v="569"/>
    <x v="2"/>
    <x v="2"/>
    <n v="0"/>
    <n v="0"/>
    <n v="0"/>
    <n v="0"/>
    <n v="0"/>
    <n v="0"/>
    <n v="0"/>
    <s v="Null"/>
    <n v="0"/>
    <n v="5000001"/>
    <n v="0"/>
    <n v="0"/>
    <n v="0"/>
    <s v="23p31a4281@aect.dummy.in"/>
  </r>
  <r>
    <x v="570"/>
    <x v="2"/>
    <x v="2"/>
    <n v="0"/>
    <n v="0"/>
    <n v="0"/>
    <n v="0"/>
    <n v="0"/>
    <n v="0"/>
    <n v="0"/>
    <s v="Null"/>
    <n v="0"/>
    <n v="5000001"/>
    <n v="0"/>
    <n v="0"/>
    <n v="0"/>
    <s v="23p31a4295@aect.dummy.in"/>
  </r>
  <r>
    <x v="571"/>
    <x v="2"/>
    <x v="2"/>
    <n v="0"/>
    <n v="0"/>
    <n v="0"/>
    <n v="0"/>
    <n v="0"/>
    <n v="0"/>
    <n v="0"/>
    <s v="Null"/>
    <n v="5"/>
    <n v="5000001"/>
    <n v="0"/>
    <n v="0"/>
    <n v="0"/>
    <s v="23p31a42a1@aect.dummy.in"/>
  </r>
  <r>
    <x v="572"/>
    <x v="2"/>
    <x v="2"/>
    <n v="0"/>
    <n v="0"/>
    <n v="0"/>
    <n v="0"/>
    <n v="0"/>
    <n v="0"/>
    <n v="0"/>
    <s v="Null"/>
    <n v="0"/>
    <n v="5000001"/>
    <n v="0"/>
    <n v="0"/>
    <n v="0"/>
    <s v="23p31a42a8@aect.dummy.in"/>
  </r>
  <r>
    <x v="573"/>
    <x v="2"/>
    <x v="2"/>
    <n v="0"/>
    <n v="0"/>
    <n v="3"/>
    <n v="2"/>
    <n v="1"/>
    <n v="3"/>
    <n v="0"/>
    <s v="Null"/>
    <n v="7"/>
    <n v="5000001"/>
    <n v="4"/>
    <n v="3"/>
    <n v="167"/>
    <s v="23p31a42c1@aect.dummy.in"/>
  </r>
  <r>
    <x v="574"/>
    <x v="2"/>
    <x v="2"/>
    <n v="0"/>
    <n v="0"/>
    <n v="0"/>
    <n v="0"/>
    <n v="0"/>
    <n v="0"/>
    <n v="0"/>
    <s v="Null"/>
    <n v="0"/>
    <n v="5000001"/>
    <n v="0"/>
    <n v="0"/>
    <n v="0"/>
    <s v="23p31a42e2@aect.dummy.in"/>
  </r>
  <r>
    <x v="575"/>
    <x v="2"/>
    <x v="2"/>
    <n v="0"/>
    <n v="0"/>
    <n v="0"/>
    <n v="0"/>
    <n v="3"/>
    <n v="1"/>
    <n v="3"/>
    <s v="SQL (Basic),SQL (Intermediate),SQL (Advanced)"/>
    <n v="25"/>
    <n v="2952804"/>
    <n v="46"/>
    <n v="67"/>
    <n v="115"/>
    <s v="23p31a42f6@aect.dummy.in"/>
  </r>
  <r>
    <x v="576"/>
    <x v="2"/>
    <x v="2"/>
    <n v="0"/>
    <n v="0"/>
    <n v="0"/>
    <n v="0"/>
    <n v="5"/>
    <n v="1"/>
    <n v="4"/>
    <s v="SQL (Intermediate),SQL (Basic),SQL (Advanced),Java (Basic)"/>
    <n v="27"/>
    <n v="2838389"/>
    <n v="0"/>
    <n v="0"/>
    <n v="0"/>
    <s v="23p31a42g3@aect.dummy.in"/>
  </r>
  <r>
    <x v="577"/>
    <x v="2"/>
    <x v="2"/>
    <n v="0"/>
    <n v="0"/>
    <n v="0"/>
    <n v="0"/>
    <n v="3"/>
    <n v="1"/>
    <n v="1"/>
    <s v="SQL (Basic)"/>
    <n v="3"/>
    <n v="5000001"/>
    <n v="0"/>
    <n v="0"/>
    <n v="0"/>
    <s v="23p31a4402@aect.dummy.in"/>
  </r>
  <r>
    <x v="578"/>
    <x v="2"/>
    <x v="2"/>
    <n v="0"/>
    <n v="0"/>
    <n v="0"/>
    <n v="0"/>
    <n v="0"/>
    <n v="1"/>
    <n v="0"/>
    <s v="Null"/>
    <n v="5"/>
    <n v="5000001"/>
    <n v="0"/>
    <n v="0"/>
    <n v="10"/>
    <s v="23p31a4403@aect.dummy.in"/>
  </r>
  <r>
    <x v="579"/>
    <x v="2"/>
    <x v="2"/>
    <n v="0"/>
    <n v="0"/>
    <n v="0"/>
    <n v="0"/>
    <n v="0"/>
    <n v="0"/>
    <n v="0"/>
    <s v="Null"/>
    <n v="0"/>
    <n v="5000001"/>
    <n v="0"/>
    <n v="0"/>
    <n v="285"/>
    <s v="23p31a4404@aect.dummy.in"/>
  </r>
  <r>
    <x v="580"/>
    <x v="2"/>
    <x v="2"/>
    <n v="0"/>
    <n v="0"/>
    <n v="0"/>
    <n v="0"/>
    <n v="0"/>
    <n v="0"/>
    <n v="0"/>
    <s v="Null"/>
    <n v="5"/>
    <n v="5000001"/>
    <n v="0"/>
    <n v="0"/>
    <n v="77"/>
    <s v="23p31a4405@aect.dummy.in"/>
  </r>
  <r>
    <x v="581"/>
    <x v="2"/>
    <x v="2"/>
    <n v="3"/>
    <n v="0"/>
    <n v="0"/>
    <n v="0"/>
    <n v="1"/>
    <n v="3"/>
    <n v="0"/>
    <s v="Null"/>
    <n v="69"/>
    <n v="1593356"/>
    <n v="93"/>
    <n v="238"/>
    <n v="164"/>
    <s v="23p31a4410@aect.dummy.in"/>
  </r>
  <r>
    <x v="582"/>
    <x v="2"/>
    <x v="2"/>
    <n v="1"/>
    <n v="0"/>
    <n v="0"/>
    <n v="0"/>
    <n v="0"/>
    <n v="1"/>
    <n v="0"/>
    <s v="Null"/>
    <n v="0"/>
    <n v="5000001"/>
    <n v="0"/>
    <n v="0"/>
    <n v="146"/>
    <s v="23p31a4414@aect.dummy.in"/>
  </r>
  <r>
    <x v="583"/>
    <x v="2"/>
    <x v="2"/>
    <n v="0"/>
    <n v="0"/>
    <n v="0"/>
    <n v="0"/>
    <n v="0"/>
    <n v="0"/>
    <n v="0"/>
    <s v="Null"/>
    <n v="33"/>
    <n v="2540795"/>
    <n v="0"/>
    <n v="0"/>
    <n v="368"/>
    <s v="23p31a4416@aect.dummy.in"/>
  </r>
  <r>
    <x v="584"/>
    <x v="2"/>
    <x v="2"/>
    <n v="1"/>
    <n v="0"/>
    <n v="0"/>
    <n v="0"/>
    <n v="0"/>
    <n v="2"/>
    <n v="0"/>
    <s v="Null"/>
    <n v="7"/>
    <n v="5000001"/>
    <n v="0"/>
    <n v="0"/>
    <n v="43"/>
    <s v="23p31a4419@aect.dummy.in"/>
  </r>
  <r>
    <x v="585"/>
    <x v="2"/>
    <x v="2"/>
    <n v="0"/>
    <n v="0"/>
    <n v="0"/>
    <n v="0"/>
    <n v="0"/>
    <n v="1"/>
    <n v="0"/>
    <s v="Null"/>
    <n v="2"/>
    <n v="5000001"/>
    <n v="0"/>
    <n v="0"/>
    <n v="54"/>
    <s v="23p31a4421@aect.dummy.in"/>
  </r>
  <r>
    <x v="586"/>
    <x v="2"/>
    <x v="2"/>
    <n v="3"/>
    <n v="0"/>
    <n v="0"/>
    <n v="0"/>
    <n v="0"/>
    <n v="2"/>
    <n v="0"/>
    <s v="Null"/>
    <n v="56"/>
    <n v="1836022"/>
    <n v="48"/>
    <n v="117"/>
    <n v="69"/>
    <s v="23p31a4422@aect.dummy.in"/>
  </r>
  <r>
    <x v="587"/>
    <x v="2"/>
    <x v="2"/>
    <n v="1"/>
    <n v="0"/>
    <n v="0"/>
    <n v="0"/>
    <n v="0"/>
    <n v="1"/>
    <n v="0"/>
    <s v="Null"/>
    <n v="4"/>
    <n v="5000001"/>
    <n v="5"/>
    <n v="9"/>
    <n v="138"/>
    <s v="23p31a4426@aect.dummy.in"/>
  </r>
  <r>
    <x v="588"/>
    <x v="2"/>
    <x v="2"/>
    <n v="3"/>
    <n v="1"/>
    <n v="2"/>
    <n v="3"/>
    <n v="0"/>
    <n v="5"/>
    <n v="0"/>
    <s v="Null"/>
    <n v="11"/>
    <n v="4298123"/>
    <n v="7"/>
    <n v="13"/>
    <n v="671"/>
    <s v="23p31a4430@aect.dummy.in"/>
  </r>
  <r>
    <x v="589"/>
    <x v="2"/>
    <x v="2"/>
    <n v="3"/>
    <n v="1"/>
    <n v="2"/>
    <n v="3"/>
    <n v="1"/>
    <n v="6"/>
    <n v="0"/>
    <s v="Null"/>
    <n v="25"/>
    <n v="2937465"/>
    <n v="48"/>
    <n v="103"/>
    <n v="692"/>
    <s v="23p31a4434@aect.dummy.in"/>
  </r>
  <r>
    <x v="590"/>
    <x v="2"/>
    <x v="2"/>
    <n v="3"/>
    <n v="0"/>
    <n v="0"/>
    <n v="0"/>
    <n v="0"/>
    <n v="1"/>
    <n v="0"/>
    <s v="Null"/>
    <n v="2"/>
    <n v="5000001"/>
    <n v="2"/>
    <n v="4"/>
    <n v="575"/>
    <s v="23p31a4436@aect.dummy.in"/>
  </r>
  <r>
    <x v="591"/>
    <x v="2"/>
    <x v="5"/>
    <n v="3"/>
    <n v="0"/>
    <n v="0"/>
    <n v="0"/>
    <n v="0"/>
    <n v="1"/>
    <n v="0"/>
    <s v="Null"/>
    <n v="15"/>
    <n v="3763083"/>
    <n v="2"/>
    <n v="2"/>
    <n v="481"/>
    <s v="23p31a4441@aect.dummy.in"/>
  </r>
  <r>
    <x v="592"/>
    <x v="2"/>
    <x v="5"/>
    <n v="3"/>
    <n v="0"/>
    <n v="0"/>
    <n v="0"/>
    <n v="0"/>
    <n v="1"/>
    <n v="0"/>
    <s v="Null"/>
    <n v="1"/>
    <n v="5000001"/>
    <n v="2"/>
    <n v="4"/>
    <n v="15"/>
    <s v="23p31a4442@aect.dummy.in"/>
  </r>
  <r>
    <x v="593"/>
    <x v="2"/>
    <x v="5"/>
    <n v="0"/>
    <n v="0"/>
    <n v="0"/>
    <n v="0"/>
    <n v="0"/>
    <n v="0"/>
    <n v="0"/>
    <s v="Null"/>
    <n v="0"/>
    <n v="5000001"/>
    <n v="0"/>
    <n v="0"/>
    <n v="0"/>
    <s v="23p31a4443@aect.dummy.in"/>
  </r>
  <r>
    <x v="594"/>
    <x v="2"/>
    <x v="5"/>
    <n v="3"/>
    <n v="0"/>
    <n v="2"/>
    <n v="3"/>
    <n v="0"/>
    <n v="4"/>
    <n v="0"/>
    <s v="Null"/>
    <n v="5"/>
    <n v="5000001"/>
    <n v="11"/>
    <n v="18"/>
    <n v="445"/>
    <s v="23p31a4444@aect.dummy.in"/>
  </r>
  <r>
    <x v="595"/>
    <x v="2"/>
    <x v="5"/>
    <n v="1"/>
    <n v="0"/>
    <n v="0"/>
    <n v="1"/>
    <n v="0"/>
    <n v="2"/>
    <n v="0"/>
    <s v="Null"/>
    <n v="0"/>
    <n v="5000001"/>
    <n v="2"/>
    <n v="3"/>
    <n v="102"/>
    <s v="23p31a4465@aect.dummy.in"/>
  </r>
  <r>
    <x v="596"/>
    <x v="2"/>
    <x v="5"/>
    <n v="4"/>
    <n v="0"/>
    <n v="4"/>
    <n v="5"/>
    <n v="5"/>
    <n v="4"/>
    <n v="2"/>
    <s v="Problem Solving (Basic),SQL (Basic)"/>
    <n v="3"/>
    <n v="5000001"/>
    <n v="1"/>
    <n v="2"/>
    <n v="193"/>
    <s v="23p31a4466@aect.dummy.in"/>
  </r>
  <r>
    <x v="597"/>
    <x v="2"/>
    <x v="5"/>
    <n v="0"/>
    <n v="0"/>
    <n v="0"/>
    <n v="0"/>
    <n v="0"/>
    <n v="0"/>
    <n v="0"/>
    <s v="Null"/>
    <n v="1"/>
    <n v="5000001"/>
    <n v="0"/>
    <n v="0"/>
    <n v="129"/>
    <s v="23p31a4467@aect.dummy.in"/>
  </r>
  <r>
    <x v="598"/>
    <x v="2"/>
    <x v="5"/>
    <n v="0"/>
    <n v="0"/>
    <n v="0"/>
    <n v="0"/>
    <n v="0"/>
    <n v="0"/>
    <n v="0"/>
    <s v="Null"/>
    <n v="0"/>
    <n v="5000001"/>
    <n v="0"/>
    <n v="0"/>
    <n v="0"/>
    <s v="23p31a4475@aect.dummy.in"/>
  </r>
  <r>
    <x v="599"/>
    <x v="2"/>
    <x v="5"/>
    <n v="4"/>
    <n v="0"/>
    <n v="0"/>
    <n v="0"/>
    <n v="1"/>
    <n v="2"/>
    <n v="1"/>
    <s v="Problem Solving (Basic)"/>
    <n v="1"/>
    <n v="5000001"/>
    <n v="4"/>
    <n v="6"/>
    <n v="99"/>
    <s v="23p31a4477@aect.dummy.in"/>
  </r>
  <r>
    <x v="600"/>
    <x v="2"/>
    <x v="5"/>
    <n v="0"/>
    <n v="0"/>
    <n v="2"/>
    <n v="0"/>
    <n v="0"/>
    <n v="1"/>
    <n v="0"/>
    <s v="Null"/>
    <n v="0"/>
    <n v="5000001"/>
    <n v="0"/>
    <n v="0"/>
    <n v="72"/>
    <s v="23p31a4479@aect.dummy.in"/>
  </r>
  <r>
    <x v="601"/>
    <x v="2"/>
    <x v="5"/>
    <n v="0"/>
    <n v="0"/>
    <n v="0"/>
    <n v="0"/>
    <n v="0"/>
    <n v="0"/>
    <n v="0"/>
    <s v="Null"/>
    <n v="0"/>
    <n v="5000001"/>
    <n v="0"/>
    <n v="0"/>
    <n v="0"/>
    <s v="23p31a4482@aect.dummy.in"/>
  </r>
  <r>
    <x v="602"/>
    <x v="2"/>
    <x v="5"/>
    <n v="0"/>
    <n v="0"/>
    <n v="0"/>
    <n v="0"/>
    <n v="0"/>
    <n v="0"/>
    <n v="0"/>
    <s v="Null"/>
    <n v="0"/>
    <n v="5000001"/>
    <n v="0"/>
    <n v="0"/>
    <n v="0"/>
    <s v="23p31a4484@aect.dummy.in"/>
  </r>
  <r>
    <x v="603"/>
    <x v="2"/>
    <x v="5"/>
    <n v="0"/>
    <n v="0"/>
    <n v="0"/>
    <n v="0"/>
    <n v="0"/>
    <n v="0"/>
    <n v="0"/>
    <s v="Null"/>
    <n v="0"/>
    <n v="5000001"/>
    <n v="0"/>
    <n v="0"/>
    <n v="0"/>
    <s v="23p31a4486@aect.dummy.in"/>
  </r>
  <r>
    <x v="604"/>
    <x v="2"/>
    <x v="5"/>
    <n v="0"/>
    <n v="0"/>
    <n v="0"/>
    <n v="2"/>
    <n v="0"/>
    <n v="1"/>
    <n v="0"/>
    <s v="Null"/>
    <n v="0"/>
    <n v="5000001"/>
    <n v="0"/>
    <n v="0"/>
    <n v="4"/>
    <s v="23p31a4487@aect.dummy.in"/>
  </r>
  <r>
    <x v="605"/>
    <x v="2"/>
    <x v="5"/>
    <n v="0"/>
    <n v="0"/>
    <n v="0"/>
    <n v="0"/>
    <n v="0"/>
    <n v="0"/>
    <n v="0"/>
    <s v="Null"/>
    <n v="3"/>
    <n v="5000001"/>
    <n v="0"/>
    <n v="0"/>
    <n v="132"/>
    <s v="23p31a4490@aect.dummy.in"/>
  </r>
  <r>
    <x v="606"/>
    <x v="2"/>
    <x v="5"/>
    <n v="0"/>
    <n v="0"/>
    <n v="0"/>
    <n v="0"/>
    <n v="0"/>
    <n v="0"/>
    <n v="0"/>
    <s v="Null"/>
    <n v="0"/>
    <n v="5000001"/>
    <n v="0"/>
    <n v="0"/>
    <n v="0"/>
    <s v="23p31a4497@aect.dummy.in"/>
  </r>
  <r>
    <x v="607"/>
    <x v="2"/>
    <x v="5"/>
    <n v="0"/>
    <n v="0"/>
    <n v="0"/>
    <n v="0"/>
    <n v="0"/>
    <n v="0"/>
    <n v="0"/>
    <s v="Null"/>
    <n v="0"/>
    <n v="5000001"/>
    <n v="0"/>
    <n v="0"/>
    <n v="4"/>
    <s v="23p31a4498@aect.dummy.in"/>
  </r>
  <r>
    <x v="608"/>
    <x v="2"/>
    <x v="5"/>
    <n v="0"/>
    <n v="0"/>
    <n v="0"/>
    <n v="0"/>
    <n v="0"/>
    <n v="0"/>
    <n v="0"/>
    <s v="Null"/>
    <n v="0"/>
    <n v="5000001"/>
    <n v="0"/>
    <n v="0"/>
    <n v="0"/>
    <s v="23p31a44a0@aect.dummy.in"/>
  </r>
  <r>
    <x v="609"/>
    <x v="2"/>
    <x v="5"/>
    <n v="0"/>
    <n v="0"/>
    <n v="1"/>
    <n v="0"/>
    <n v="0"/>
    <n v="1"/>
    <n v="0"/>
    <s v="Null"/>
    <n v="0"/>
    <n v="5000001"/>
    <n v="0"/>
    <n v="0"/>
    <n v="75"/>
    <s v="23p31a44a3@aect.dummy.in"/>
  </r>
  <r>
    <x v="610"/>
    <x v="2"/>
    <x v="5"/>
    <n v="0"/>
    <n v="0"/>
    <n v="0"/>
    <n v="0"/>
    <n v="0"/>
    <n v="0"/>
    <n v="0"/>
    <s v="Null"/>
    <n v="0"/>
    <n v="5000001"/>
    <n v="0"/>
    <n v="0"/>
    <n v="0"/>
    <s v="23p31a44a6@aect.dummy.in"/>
  </r>
  <r>
    <x v="611"/>
    <x v="2"/>
    <x v="5"/>
    <n v="2"/>
    <n v="0"/>
    <n v="1"/>
    <n v="2"/>
    <n v="0"/>
    <n v="3"/>
    <n v="0"/>
    <s v="Null"/>
    <n v="0"/>
    <n v="5000001"/>
    <n v="0"/>
    <n v="0"/>
    <n v="529"/>
    <s v="23p31a44c4@aect.dummy.in"/>
  </r>
  <r>
    <x v="612"/>
    <x v="2"/>
    <x v="5"/>
    <n v="0"/>
    <n v="0"/>
    <n v="0"/>
    <n v="0"/>
    <n v="0"/>
    <n v="0"/>
    <n v="0"/>
    <s v="Null"/>
    <n v="0"/>
    <n v="5000001"/>
    <n v="0"/>
    <n v="0"/>
    <n v="13"/>
    <s v="24a95a0403@aect.dummy.in"/>
  </r>
  <r>
    <x v="613"/>
    <x v="2"/>
    <x v="5"/>
    <n v="0"/>
    <n v="0"/>
    <n v="0"/>
    <n v="0"/>
    <n v="0"/>
    <n v="0"/>
    <n v="0"/>
    <s v="Null"/>
    <n v="0"/>
    <n v="5000001"/>
    <n v="0"/>
    <n v="0"/>
    <n v="0"/>
    <s v="24a95a0406@aect.dummy.in"/>
  </r>
  <r>
    <x v="614"/>
    <x v="2"/>
    <x v="5"/>
    <n v="0"/>
    <n v="0"/>
    <n v="0"/>
    <n v="0"/>
    <n v="0"/>
    <n v="0"/>
    <n v="0"/>
    <s v="Null"/>
    <n v="0"/>
    <n v="5000001"/>
    <n v="0"/>
    <n v="0"/>
    <n v="93"/>
    <s v="24a95a0407@aect.dummy.in"/>
  </r>
  <r>
    <x v="615"/>
    <x v="2"/>
    <x v="5"/>
    <n v="0"/>
    <n v="0"/>
    <n v="0"/>
    <n v="0"/>
    <n v="0"/>
    <n v="0"/>
    <n v="0"/>
    <s v="Null"/>
    <n v="0"/>
    <n v="5000001"/>
    <n v="0"/>
    <n v="0"/>
    <n v="118"/>
    <s v="24a95a0408@aect.dummy.in"/>
  </r>
  <r>
    <x v="616"/>
    <x v="2"/>
    <x v="5"/>
    <n v="0"/>
    <n v="0"/>
    <n v="0"/>
    <n v="0"/>
    <n v="0"/>
    <n v="0"/>
    <n v="0"/>
    <s v="Null"/>
    <n v="0"/>
    <n v="5000001"/>
    <n v="0"/>
    <n v="0"/>
    <n v="121"/>
    <s v="24a95a0412@aect.dummy.in"/>
  </r>
  <r>
    <x v="617"/>
    <x v="2"/>
    <x v="5"/>
    <n v="0"/>
    <n v="0"/>
    <n v="0"/>
    <n v="0"/>
    <n v="0"/>
    <n v="0"/>
    <n v="0"/>
    <s v="Null"/>
    <n v="0"/>
    <n v="5000001"/>
    <n v="0"/>
    <n v="0"/>
    <n v="2"/>
    <s v="24a95a0413@aect.dummy.in"/>
  </r>
  <r>
    <x v="618"/>
    <x v="2"/>
    <x v="5"/>
    <n v="0"/>
    <n v="0"/>
    <n v="0"/>
    <n v="0"/>
    <n v="0"/>
    <n v="0"/>
    <n v="0"/>
    <s v="Null"/>
    <n v="0"/>
    <n v="5000001"/>
    <n v="0"/>
    <n v="0"/>
    <n v="0"/>
    <s v="24a95a0414@aect.dummy.in"/>
  </r>
  <r>
    <x v="619"/>
    <x v="2"/>
    <x v="5"/>
    <n v="0"/>
    <n v="0"/>
    <n v="0"/>
    <n v="0"/>
    <n v="0"/>
    <n v="0"/>
    <n v="0"/>
    <s v="Null"/>
    <n v="0"/>
    <n v="5000001"/>
    <n v="0"/>
    <n v="0"/>
    <n v="0"/>
    <s v="24a95a0415@aect.dummy.in"/>
  </r>
  <r>
    <x v="620"/>
    <x v="2"/>
    <x v="5"/>
    <n v="0"/>
    <n v="0"/>
    <n v="0"/>
    <n v="0"/>
    <n v="0"/>
    <n v="0"/>
    <n v="0"/>
    <s v="Null"/>
    <n v="0"/>
    <n v="5000001"/>
    <n v="0"/>
    <n v="0"/>
    <n v="0"/>
    <s v="24a95a0421@aect.dummy.in"/>
  </r>
  <r>
    <x v="621"/>
    <x v="2"/>
    <x v="5"/>
    <n v="0"/>
    <n v="0"/>
    <n v="0"/>
    <n v="3"/>
    <n v="0"/>
    <n v="1"/>
    <n v="0"/>
    <s v="Null"/>
    <n v="0"/>
    <n v="5000001"/>
    <n v="0"/>
    <n v="0"/>
    <n v="108"/>
    <s v="24a95a0424@aect.dummy.in"/>
  </r>
  <r>
    <x v="622"/>
    <x v="2"/>
    <x v="5"/>
    <n v="0"/>
    <n v="0"/>
    <n v="0"/>
    <n v="0"/>
    <n v="0"/>
    <n v="0"/>
    <n v="0"/>
    <s v="Null"/>
    <n v="0"/>
    <n v="5000001"/>
    <n v="0"/>
    <n v="0"/>
    <n v="0"/>
    <s v="24a95a0425@aect.dummy.in"/>
  </r>
  <r>
    <x v="623"/>
    <x v="2"/>
    <x v="5"/>
    <n v="0"/>
    <n v="0"/>
    <n v="1"/>
    <n v="5"/>
    <n v="4"/>
    <n v="4"/>
    <n v="2"/>
    <s v="SQL (Basic),SQL (Intermediate)"/>
    <n v="70"/>
    <n v="1577855"/>
    <n v="99"/>
    <n v="254"/>
    <n v="60"/>
    <s v="24a95a0502@aect.dummy.in"/>
  </r>
  <r>
    <x v="624"/>
    <x v="2"/>
    <x v="5"/>
    <n v="2"/>
    <n v="0"/>
    <n v="0"/>
    <n v="5"/>
    <n v="5"/>
    <n v="3"/>
    <n v="1"/>
    <s v="SQL (Basic)"/>
    <n v="0"/>
    <n v="5000001"/>
    <n v="0"/>
    <n v="0"/>
    <n v="125"/>
    <s v="24a95a0505@aect.dummy.in"/>
  </r>
  <r>
    <x v="625"/>
    <x v="2"/>
    <x v="5"/>
    <n v="0"/>
    <n v="0"/>
    <n v="0"/>
    <n v="0"/>
    <n v="4"/>
    <n v="2"/>
    <n v="1"/>
    <s v="SQL (Basic)"/>
    <n v="3"/>
    <n v="5000001"/>
    <n v="144"/>
    <n v="298"/>
    <n v="73"/>
    <s v="24a95a0510@aect.dummy.in"/>
  </r>
  <r>
    <x v="626"/>
    <x v="2"/>
    <x v="5"/>
    <n v="0"/>
    <n v="0"/>
    <n v="4"/>
    <n v="4"/>
    <n v="3"/>
    <n v="4"/>
    <n v="1"/>
    <s v="SQL (Basic)"/>
    <n v="234"/>
    <n v="503642"/>
    <n v="126"/>
    <n v="311"/>
    <n v="189"/>
    <s v="24a95a0511@aect.dummy.in"/>
  </r>
  <r>
    <x v="627"/>
    <x v="2"/>
    <x v="5"/>
    <n v="1"/>
    <n v="0"/>
    <n v="1"/>
    <n v="3"/>
    <n v="5"/>
    <n v="5"/>
    <n v="2"/>
    <s v="SQL (Basic),CSS (Basic)"/>
    <n v="107"/>
    <n v="1139598"/>
    <n v="25"/>
    <n v="76"/>
    <n v="125"/>
    <s v="24a95a0512@aect.dummy.in"/>
  </r>
  <r>
    <x v="628"/>
    <x v="2"/>
    <x v="5"/>
    <n v="0"/>
    <n v="0"/>
    <n v="5"/>
    <n v="5"/>
    <n v="5"/>
    <n v="3"/>
    <n v="1"/>
    <s v="SQL (Basic)"/>
    <n v="9"/>
    <n v="4701120"/>
    <n v="0"/>
    <n v="0"/>
    <n v="211"/>
    <s v="24a95a0514@aect.dummy.in"/>
  </r>
  <r>
    <x v="629"/>
    <x v="2"/>
    <x v="5"/>
    <n v="4"/>
    <n v="0"/>
    <n v="1"/>
    <n v="0"/>
    <n v="3"/>
    <n v="4"/>
    <n v="2"/>
    <s v="SQL (Basic),SQL (Intermediate)"/>
    <n v="253"/>
    <n v="454653"/>
    <n v="0"/>
    <n v="0"/>
    <n v="82"/>
    <s v="24a95a0515@aect.dummy.in"/>
  </r>
  <r>
    <x v="630"/>
    <x v="2"/>
    <x v="5"/>
    <n v="3"/>
    <n v="2"/>
    <n v="2"/>
    <n v="4"/>
    <n v="4"/>
    <n v="6"/>
    <n v="4"/>
    <s v="Java (Basic),SQL (Basic),Python (Basic),SQL (Intermediate)"/>
    <n v="227"/>
    <n v="523561"/>
    <n v="118"/>
    <n v="177"/>
    <n v="745"/>
    <s v="24a95a0517@aect.dummy.in"/>
  </r>
  <r>
    <x v="631"/>
    <x v="2"/>
    <x v="5"/>
    <n v="0"/>
    <n v="0"/>
    <n v="0"/>
    <n v="2"/>
    <n v="0"/>
    <n v="2"/>
    <n v="2"/>
    <s v="SQL (Basic),Python (Basic)"/>
    <n v="101"/>
    <n v="1198095"/>
    <n v="10"/>
    <n v="38"/>
    <n v="29"/>
    <s v="24a95a1202@aect.dummy.in"/>
  </r>
  <r>
    <x v="632"/>
    <x v="2"/>
    <x v="5"/>
    <n v="0"/>
    <n v="0"/>
    <n v="0"/>
    <n v="2"/>
    <n v="0"/>
    <n v="1"/>
    <n v="0"/>
    <s v="Null"/>
    <n v="9"/>
    <n v="4691185"/>
    <n v="0"/>
    <n v="0"/>
    <n v="42"/>
    <s v="24a95a6101@aect.dummy.in"/>
  </r>
  <r>
    <x v="633"/>
    <x v="2"/>
    <x v="5"/>
    <n v="1"/>
    <n v="0"/>
    <n v="5"/>
    <n v="3"/>
    <n v="0"/>
    <n v="3"/>
    <n v="1"/>
    <s v="Java (Basic)"/>
    <n v="0"/>
    <n v="5000001"/>
    <n v="0"/>
    <n v="0"/>
    <n v="73"/>
    <s v="24a95a6108@aect.dummy.in"/>
  </r>
  <r>
    <x v="634"/>
    <x v="2"/>
    <x v="5"/>
    <n v="0"/>
    <n v="0"/>
    <n v="4"/>
    <n v="4"/>
    <n v="5"/>
    <n v="3"/>
    <n v="3"/>
    <s v="SQL (Basic),Python (Basic),SQL (Intermediate)"/>
    <n v="146"/>
    <n v="858230"/>
    <n v="72"/>
    <n v="116"/>
    <n v="545"/>
    <s v="24a95a6109@aect.dummy.in"/>
  </r>
  <r>
    <x v="635"/>
    <x v="2"/>
    <x v="5"/>
    <n v="0"/>
    <n v="0"/>
    <n v="0"/>
    <n v="2"/>
    <n v="0"/>
    <n v="1"/>
    <n v="0"/>
    <s v="Null"/>
    <n v="0"/>
    <n v="5000001"/>
    <n v="0"/>
    <n v="0"/>
    <n v="0"/>
    <s v="24p35a0401@aect.dummy.in"/>
  </r>
  <r>
    <x v="636"/>
    <x v="2"/>
    <x v="5"/>
    <n v="0"/>
    <n v="0"/>
    <n v="0"/>
    <n v="0"/>
    <n v="0"/>
    <n v="0"/>
    <n v="0"/>
    <s v="Null"/>
    <n v="0"/>
    <n v="5000001"/>
    <n v="0"/>
    <n v="0"/>
    <n v="0"/>
    <s v="24p35a0402@aect.dummy.in"/>
  </r>
  <r>
    <x v="637"/>
    <x v="2"/>
    <x v="5"/>
    <n v="0"/>
    <n v="0"/>
    <n v="0"/>
    <n v="0"/>
    <n v="0"/>
    <n v="0"/>
    <n v="0"/>
    <s v="Null"/>
    <n v="0"/>
    <n v="5000001"/>
    <n v="0"/>
    <n v="0"/>
    <n v="0"/>
    <s v="24p35a0403@aect.dummy.in"/>
  </r>
  <r>
    <x v="638"/>
    <x v="2"/>
    <x v="5"/>
    <n v="0"/>
    <n v="0"/>
    <n v="0"/>
    <n v="0"/>
    <n v="0"/>
    <n v="0"/>
    <n v="0"/>
    <s v="Null"/>
    <n v="0"/>
    <n v="5000001"/>
    <n v="0"/>
    <n v="0"/>
    <n v="0"/>
    <s v="24p35a0407@aect.dummy.in"/>
  </r>
  <r>
    <x v="639"/>
    <x v="2"/>
    <x v="5"/>
    <n v="0"/>
    <n v="0"/>
    <n v="0"/>
    <n v="2"/>
    <n v="0"/>
    <n v="1"/>
    <n v="0"/>
    <s v="Null"/>
    <n v="0"/>
    <n v="5000001"/>
    <n v="0"/>
    <n v="0"/>
    <n v="0"/>
    <s v="24p35a0413@aect.dummy.in"/>
  </r>
  <r>
    <x v="640"/>
    <x v="2"/>
    <x v="5"/>
    <n v="0"/>
    <n v="0"/>
    <n v="0"/>
    <n v="0"/>
    <n v="0"/>
    <n v="0"/>
    <n v="0"/>
    <s v="Null"/>
    <n v="0"/>
    <n v="5000001"/>
    <n v="0"/>
    <n v="0"/>
    <n v="0"/>
    <s v="24p35a0422@aect.dummy.in"/>
  </r>
  <r>
    <x v="641"/>
    <x v="2"/>
    <x v="5"/>
    <n v="0"/>
    <n v="0"/>
    <n v="0"/>
    <n v="0"/>
    <n v="0"/>
    <n v="0"/>
    <n v="0"/>
    <s v="Null"/>
    <n v="0"/>
    <n v="5000001"/>
    <n v="0"/>
    <n v="0"/>
    <n v="21"/>
    <s v="24p35a0430@aect.dummy.in"/>
  </r>
  <r>
    <x v="642"/>
    <x v="2"/>
    <x v="5"/>
    <n v="0"/>
    <n v="0"/>
    <n v="0"/>
    <n v="2"/>
    <n v="0"/>
    <n v="1"/>
    <n v="0"/>
    <s v="Null"/>
    <n v="0"/>
    <n v="5000001"/>
    <n v="0"/>
    <n v="0"/>
    <n v="0"/>
    <s v="24p35a0431@aect.dummy.in"/>
  </r>
  <r>
    <x v="643"/>
    <x v="2"/>
    <x v="5"/>
    <n v="0"/>
    <n v="0"/>
    <n v="0"/>
    <n v="0"/>
    <n v="0"/>
    <n v="0"/>
    <n v="0"/>
    <s v="Null"/>
    <n v="0"/>
    <n v="5000001"/>
    <n v="0"/>
    <n v="0"/>
    <n v="0"/>
    <s v="24p35a0436@aect.dummy.in"/>
  </r>
  <r>
    <x v="644"/>
    <x v="2"/>
    <x v="5"/>
    <n v="2"/>
    <n v="0"/>
    <n v="0"/>
    <n v="0"/>
    <n v="0"/>
    <n v="1"/>
    <n v="0"/>
    <s v="Null"/>
    <n v="0"/>
    <n v="5000001"/>
    <n v="0"/>
    <n v="0"/>
    <n v="111"/>
    <s v="24p35a0513@aect.dummy.in"/>
  </r>
  <r>
    <x v="645"/>
    <x v="2"/>
    <x v="5"/>
    <n v="0"/>
    <n v="0"/>
    <n v="0"/>
    <n v="1"/>
    <n v="0"/>
    <n v="1"/>
    <n v="0"/>
    <s v="Null"/>
    <n v="13"/>
    <n v="4029785"/>
    <n v="0"/>
    <n v="0"/>
    <n v="0"/>
    <s v="24p35a0514@aect.dummy.in"/>
  </r>
  <r>
    <x v="646"/>
    <x v="2"/>
    <x v="5"/>
    <n v="0"/>
    <n v="0"/>
    <n v="0"/>
    <n v="0"/>
    <n v="0"/>
    <n v="0"/>
    <n v="0"/>
    <s v="Null"/>
    <n v="0"/>
    <n v="5000001"/>
    <n v="0"/>
    <n v="0"/>
    <n v="0"/>
    <s v="24p35a0518@aect.dummy.in"/>
  </r>
  <r>
    <x v="647"/>
    <x v="2"/>
    <x v="5"/>
    <n v="0"/>
    <n v="0"/>
    <n v="0"/>
    <n v="3"/>
    <n v="0"/>
    <n v="1"/>
    <n v="0"/>
    <s v="Null"/>
    <n v="15"/>
    <n v="3776132"/>
    <n v="1"/>
    <n v="1"/>
    <n v="679"/>
    <s v="24p35a0519@aect.dummy.in"/>
  </r>
  <r>
    <x v="648"/>
    <x v="2"/>
    <x v="5"/>
    <n v="0"/>
    <n v="0"/>
    <n v="0"/>
    <n v="0"/>
    <n v="0"/>
    <n v="0"/>
    <n v="0"/>
    <s v="Null"/>
    <n v="0"/>
    <n v="5000001"/>
    <n v="0"/>
    <n v="0"/>
    <n v="0"/>
    <s v="24p35a0520@aect.dummy.in"/>
  </r>
  <r>
    <x v="649"/>
    <x v="2"/>
    <x v="0"/>
    <n v="0"/>
    <n v="0"/>
    <n v="0"/>
    <n v="0"/>
    <n v="0"/>
    <n v="0"/>
    <n v="0"/>
    <s v="Null"/>
    <n v="0"/>
    <n v="5000001"/>
    <n v="0"/>
    <n v="0"/>
    <n v="0"/>
    <s v="24p35a0521@aect.dummy.in"/>
  </r>
  <r>
    <x v="650"/>
    <x v="2"/>
    <x v="0"/>
    <n v="0"/>
    <n v="0"/>
    <n v="3"/>
    <n v="2"/>
    <n v="0"/>
    <n v="2"/>
    <n v="0"/>
    <s v="Null"/>
    <n v="6"/>
    <n v="5000001"/>
    <n v="3"/>
    <n v="5"/>
    <n v="28"/>
    <s v="24p35a0530@aect.dummy.in"/>
  </r>
  <r>
    <x v="651"/>
    <x v="2"/>
    <x v="0"/>
    <n v="0"/>
    <n v="0"/>
    <n v="0"/>
    <n v="0"/>
    <n v="0"/>
    <n v="0"/>
    <n v="1"/>
    <s v="Python (Basic)"/>
    <n v="0"/>
    <n v="5000001"/>
    <n v="1"/>
    <n v="2"/>
    <n v="175"/>
    <s v="24p35a0531@aect.dummy.in"/>
  </r>
  <r>
    <x v="652"/>
    <x v="2"/>
    <x v="0"/>
    <n v="3"/>
    <n v="0"/>
    <n v="0"/>
    <n v="0"/>
    <n v="0"/>
    <n v="1"/>
    <n v="0"/>
    <s v="Null"/>
    <n v="0"/>
    <n v="5000001"/>
    <n v="0"/>
    <n v="0"/>
    <n v="0"/>
    <s v="24p35a0535@aect.dummy.in"/>
  </r>
  <r>
    <x v="653"/>
    <x v="2"/>
    <x v="0"/>
    <n v="0"/>
    <n v="0"/>
    <n v="0"/>
    <n v="5"/>
    <n v="0"/>
    <n v="1"/>
    <n v="0"/>
    <s v="Null"/>
    <n v="0"/>
    <n v="5000001"/>
    <n v="0"/>
    <n v="0"/>
    <n v="0"/>
    <s v="24p35a0539@aect.dummy.in"/>
  </r>
  <r>
    <x v="654"/>
    <x v="2"/>
    <x v="0"/>
    <n v="0"/>
    <n v="0"/>
    <n v="0"/>
    <n v="3"/>
    <n v="0"/>
    <n v="1"/>
    <n v="0"/>
    <s v="Null"/>
    <n v="14"/>
    <n v="3909665"/>
    <n v="0"/>
    <n v="0"/>
    <n v="60"/>
    <s v="24p35a0541@aect.dummy.in"/>
  </r>
  <r>
    <x v="655"/>
    <x v="2"/>
    <x v="0"/>
    <n v="0"/>
    <n v="0"/>
    <n v="0"/>
    <n v="0"/>
    <n v="4"/>
    <n v="1"/>
    <n v="1"/>
    <s v="SQL (Basic)"/>
    <n v="32"/>
    <n v="2589137"/>
    <n v="0"/>
    <n v="0"/>
    <n v="45"/>
    <s v="24p35a0545@aect.dummy.in"/>
  </r>
  <r>
    <x v="656"/>
    <x v="2"/>
    <x v="0"/>
    <n v="0"/>
    <n v="0"/>
    <n v="0"/>
    <n v="0"/>
    <n v="0"/>
    <n v="0"/>
    <n v="0"/>
    <s v="Null"/>
    <n v="0"/>
    <n v="5000001"/>
    <n v="0"/>
    <n v="0"/>
    <n v="0"/>
    <s v="24p35a0549@aect.dummy.in"/>
  </r>
  <r>
    <x v="657"/>
    <x v="2"/>
    <x v="0"/>
    <n v="0"/>
    <n v="0"/>
    <n v="0"/>
    <n v="0"/>
    <n v="0"/>
    <n v="0"/>
    <n v="0"/>
    <s v="Null"/>
    <n v="0"/>
    <n v="5000001"/>
    <n v="0"/>
    <n v="0"/>
    <n v="0"/>
    <s v="24p35a0550@aect.dummy.in"/>
  </r>
  <r>
    <x v="658"/>
    <x v="2"/>
    <x v="0"/>
    <n v="4"/>
    <n v="0"/>
    <n v="0"/>
    <n v="5"/>
    <n v="3"/>
    <n v="3"/>
    <n v="4"/>
    <s v="Python (Basic),C# (Basic),SQL (Basic),SQL (Intermediate)"/>
    <n v="29"/>
    <n v="2728003"/>
    <n v="2"/>
    <n v="6"/>
    <n v="233"/>
    <s v="24p35a0553@aect.dummy.in"/>
  </r>
  <r>
    <x v="659"/>
    <x v="2"/>
    <x v="0"/>
    <n v="0"/>
    <n v="0"/>
    <n v="0"/>
    <n v="0"/>
    <n v="0"/>
    <n v="0"/>
    <n v="0"/>
    <s v="Null"/>
    <n v="0"/>
    <n v="5000001"/>
    <n v="0"/>
    <n v="0"/>
    <n v="29"/>
    <s v="24p35a0555@aect.dummy.in"/>
  </r>
  <r>
    <x v="660"/>
    <x v="2"/>
    <x v="1"/>
    <n v="0"/>
    <n v="0"/>
    <n v="1"/>
    <n v="0"/>
    <n v="1"/>
    <n v="2"/>
    <n v="0"/>
    <s v="Null"/>
    <n v="8"/>
    <n v="4867821"/>
    <n v="5"/>
    <n v="9"/>
    <n v="94"/>
    <s v="24p35a0557@aect.dummy.in"/>
  </r>
  <r>
    <x v="661"/>
    <x v="2"/>
    <x v="1"/>
    <n v="0"/>
    <n v="0"/>
    <n v="0"/>
    <n v="1"/>
    <n v="0"/>
    <n v="1"/>
    <n v="0"/>
    <s v="Null"/>
    <n v="0"/>
    <n v="5000001"/>
    <n v="0"/>
    <n v="0"/>
    <n v="0"/>
    <s v="24p35a1204@aect.dummy.in"/>
  </r>
  <r>
    <x v="662"/>
    <x v="2"/>
    <x v="1"/>
    <n v="2"/>
    <n v="0"/>
    <n v="0"/>
    <n v="0"/>
    <n v="0"/>
    <n v="1"/>
    <n v="0"/>
    <s v="Null"/>
    <n v="0"/>
    <n v="5000001"/>
    <n v="0"/>
    <n v="0"/>
    <n v="29"/>
    <s v="24p35a4203@aect.dummy.in"/>
  </r>
  <r>
    <x v="663"/>
    <x v="2"/>
    <x v="1"/>
    <n v="0"/>
    <n v="0"/>
    <n v="0"/>
    <n v="0"/>
    <n v="0"/>
    <n v="0"/>
    <n v="0"/>
    <s v="Null"/>
    <n v="12"/>
    <n v="4178493"/>
    <n v="0"/>
    <n v="0"/>
    <n v="0"/>
    <s v="24p35a4213@aect.dummy.in"/>
  </r>
  <r>
    <x v="664"/>
    <x v="2"/>
    <x v="1"/>
    <n v="0"/>
    <n v="0"/>
    <n v="0"/>
    <n v="2"/>
    <n v="0"/>
    <n v="1"/>
    <n v="1"/>
    <s v="Python (Basic)"/>
    <n v="0"/>
    <n v="5000001"/>
    <n v="0"/>
    <n v="0"/>
    <n v="74"/>
    <s v="24p35a4216@aect.dummy.in"/>
  </r>
  <r>
    <x v="665"/>
    <x v="2"/>
    <x v="1"/>
    <n v="0"/>
    <n v="0"/>
    <n v="0"/>
    <n v="0"/>
    <n v="5"/>
    <n v="2"/>
    <n v="4"/>
    <s v="SQL (Basic),SQL (Intermediate),SQL (Advanced),Java (Basic)"/>
    <n v="25"/>
    <n v="2954078"/>
    <n v="0"/>
    <n v="0"/>
    <n v="151"/>
    <s v="24p35a4225@aect.dummy.in"/>
  </r>
  <r>
    <x v="666"/>
    <x v="2"/>
    <x v="1"/>
    <n v="0"/>
    <n v="0"/>
    <n v="0"/>
    <n v="1"/>
    <n v="0"/>
    <n v="1"/>
    <n v="0"/>
    <s v="Null"/>
    <n v="0"/>
    <n v="5000001"/>
    <n v="0"/>
    <n v="0"/>
    <n v="33"/>
    <s v="24p35a4227@aect.dummy.in"/>
  </r>
  <r>
    <x v="667"/>
    <x v="2"/>
    <x v="1"/>
    <n v="0"/>
    <n v="0"/>
    <n v="0"/>
    <n v="2"/>
    <n v="0"/>
    <n v="1"/>
    <n v="0"/>
    <s v="Null"/>
    <n v="0"/>
    <n v="0"/>
    <n v="0"/>
    <n v="0"/>
    <n v="99"/>
    <s v="24p35a4230@aect.dummy.in"/>
  </r>
  <r>
    <x v="668"/>
    <x v="2"/>
    <x v="2"/>
    <n v="0"/>
    <n v="0"/>
    <n v="0"/>
    <n v="0"/>
    <n v="0"/>
    <n v="0"/>
    <n v="0"/>
    <s v="Null"/>
    <n v="3"/>
    <n v="5000001"/>
    <n v="0"/>
    <n v="0"/>
    <n v="1"/>
    <s v="24p35a4232@aect.dummy.in"/>
  </r>
  <r>
    <x v="669"/>
    <x v="2"/>
    <x v="5"/>
    <n v="0"/>
    <n v="0"/>
    <n v="0"/>
    <n v="0"/>
    <n v="0"/>
    <n v="0"/>
    <n v="0"/>
    <s v="Null"/>
    <n v="0"/>
    <n v="5000001"/>
    <n v="0"/>
    <n v="0"/>
    <n v="18"/>
    <s v="24p35a4233@aect.dummy.in"/>
  </r>
  <r>
    <x v="670"/>
    <x v="2"/>
    <x v="5"/>
    <n v="3"/>
    <n v="0"/>
    <n v="5"/>
    <n v="2"/>
    <n v="0"/>
    <n v="3"/>
    <n v="1"/>
    <s v="Java (Basic)"/>
    <n v="1"/>
    <n v="5000001"/>
    <n v="0"/>
    <n v="0"/>
    <n v="0"/>
    <s v="24p35a4237@aect.dummy.in"/>
  </r>
  <r>
    <x v="671"/>
    <x v="2"/>
    <x v="5"/>
    <n v="0"/>
    <n v="0"/>
    <n v="0"/>
    <n v="0"/>
    <n v="0"/>
    <n v="0"/>
    <n v="0"/>
    <s v="Null"/>
    <n v="0"/>
    <n v="5000001"/>
    <n v="0"/>
    <n v="0"/>
    <n v="0"/>
    <s v="24p35a4906@aect.dummy.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1C159-CFF0-43C7-ACB5-975D356B68D6}"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AK3:AL7" firstHeaderRow="1" firstDataRow="1" firstDataCol="1"/>
  <pivotFields count="17">
    <pivotField dataField="1" compact="0" outline="0" showAll="0"/>
    <pivotField axis="axisRow" compact="0" outline="0" showAll="0">
      <items count="4">
        <item x="0"/>
        <item x="1"/>
        <item x="2"/>
        <item t="default"/>
      </items>
    </pivotField>
    <pivotField compact="0" outline="0" showAll="0">
      <items count="7">
        <item x="3"/>
        <item x="1"/>
        <item x="5"/>
        <item x="4"/>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4">
    <i>
      <x/>
    </i>
    <i>
      <x v="1"/>
    </i>
    <i>
      <x v="2"/>
    </i>
    <i t="grand">
      <x/>
    </i>
  </rowItems>
  <colItems count="1">
    <i/>
  </colItems>
  <dataFields count="1">
    <dataField name="Count of Student ID" fld="0" subtotal="count" baseField="0" baseItem="0"/>
  </dataFields>
  <chartFormats count="4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 count="1" selected="0">
            <x v="0"/>
          </reference>
        </references>
      </pivotArea>
    </chartFormat>
    <chartFormat chart="5" format="19">
      <pivotArea type="data" outline="0" fieldPosition="0">
        <references count="2">
          <reference field="4294967294" count="1" selected="0">
            <x v="0"/>
          </reference>
          <reference field="1" count="1" selected="0">
            <x v="1"/>
          </reference>
        </references>
      </pivotArea>
    </chartFormat>
    <chartFormat chart="5" format="20">
      <pivotArea type="data" outline="0" fieldPosition="0">
        <references count="2">
          <reference field="4294967294" count="1" selected="0">
            <x v="0"/>
          </reference>
          <reference field="1" count="1" selected="0">
            <x v="2"/>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1" count="1" selected="0">
            <x v="0"/>
          </reference>
        </references>
      </pivotArea>
    </chartFormat>
    <chartFormat chart="6" format="23">
      <pivotArea type="data" outline="0" fieldPosition="0">
        <references count="2">
          <reference field="4294967294" count="1" selected="0">
            <x v="0"/>
          </reference>
          <reference field="1" count="1" selected="0">
            <x v="1"/>
          </reference>
        </references>
      </pivotArea>
    </chartFormat>
    <chartFormat chart="6" format="24">
      <pivotArea type="data" outline="0" fieldPosition="0">
        <references count="2">
          <reference field="4294967294" count="1" selected="0">
            <x v="0"/>
          </reference>
          <reference field="1" count="1" selected="0">
            <x v="2"/>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 count="1" selected="0">
            <x v="0"/>
          </reference>
        </references>
      </pivotArea>
    </chartFormat>
    <chartFormat chart="7" format="27">
      <pivotArea type="data" outline="0" fieldPosition="0">
        <references count="2">
          <reference field="4294967294" count="1" selected="0">
            <x v="0"/>
          </reference>
          <reference field="1" count="1" selected="0">
            <x v="1"/>
          </reference>
        </references>
      </pivotArea>
    </chartFormat>
    <chartFormat chart="7" format="28">
      <pivotArea type="data" outline="0" fieldPosition="0">
        <references count="2">
          <reference field="4294967294" count="1" selected="0">
            <x v="0"/>
          </reference>
          <reference field="1" count="1" selected="0">
            <x v="2"/>
          </reference>
        </references>
      </pivotArea>
    </chartFormat>
    <chartFormat chart="17" format="37" series="1">
      <pivotArea type="data" outline="0" fieldPosition="0">
        <references count="1">
          <reference field="4294967294" count="1" selected="0">
            <x v="0"/>
          </reference>
        </references>
      </pivotArea>
    </chartFormat>
    <chartFormat chart="17" format="38">
      <pivotArea type="data" outline="0" fieldPosition="0">
        <references count="2">
          <reference field="4294967294" count="1" selected="0">
            <x v="0"/>
          </reference>
          <reference field="1" count="1" selected="0">
            <x v="0"/>
          </reference>
        </references>
      </pivotArea>
    </chartFormat>
    <chartFormat chart="17" format="39">
      <pivotArea type="data" outline="0" fieldPosition="0">
        <references count="2">
          <reference field="4294967294" count="1" selected="0">
            <x v="0"/>
          </reference>
          <reference field="1" count="1" selected="0">
            <x v="1"/>
          </reference>
        </references>
      </pivotArea>
    </chartFormat>
    <chartFormat chart="17" format="40">
      <pivotArea type="data" outline="0" fieldPosition="0">
        <references count="2">
          <reference field="4294967294" count="1" selected="0">
            <x v="0"/>
          </reference>
          <reference field="1" count="1" selected="0">
            <x v="2"/>
          </reference>
        </references>
      </pivotArea>
    </chartFormat>
    <chartFormat chart="18" format="41" series="1">
      <pivotArea type="data" outline="0" fieldPosition="0">
        <references count="1">
          <reference field="4294967294" count="1" selected="0">
            <x v="0"/>
          </reference>
        </references>
      </pivotArea>
    </chartFormat>
    <chartFormat chart="18" format="42">
      <pivotArea type="data" outline="0" fieldPosition="0">
        <references count="2">
          <reference field="4294967294" count="1" selected="0">
            <x v="0"/>
          </reference>
          <reference field="1" count="1" selected="0">
            <x v="0"/>
          </reference>
        </references>
      </pivotArea>
    </chartFormat>
    <chartFormat chart="18" format="43">
      <pivotArea type="data" outline="0" fieldPosition="0">
        <references count="2">
          <reference field="4294967294" count="1" selected="0">
            <x v="0"/>
          </reference>
          <reference field="1" count="1" selected="0">
            <x v="1"/>
          </reference>
        </references>
      </pivotArea>
    </chartFormat>
    <chartFormat chart="18" format="44">
      <pivotArea type="data" outline="0" fieldPosition="0">
        <references count="2">
          <reference field="4294967294" count="1" selected="0">
            <x v="0"/>
          </reference>
          <reference field="1" count="1" selected="0">
            <x v="2"/>
          </reference>
        </references>
      </pivotArea>
    </chartFormat>
    <chartFormat chart="19" format="45"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1" count="1" selected="0">
            <x v="0"/>
          </reference>
        </references>
      </pivotArea>
    </chartFormat>
    <chartFormat chart="19" format="47">
      <pivotArea type="data" outline="0" fieldPosition="0">
        <references count="2">
          <reference field="4294967294" count="1" selected="0">
            <x v="0"/>
          </reference>
          <reference field="1" count="1" selected="0">
            <x v="1"/>
          </reference>
        </references>
      </pivotArea>
    </chartFormat>
    <chartFormat chart="19" format="48">
      <pivotArea type="data" outline="0" fieldPosition="0">
        <references count="2">
          <reference field="4294967294" count="1" selected="0">
            <x v="0"/>
          </reference>
          <reference field="1" count="1" selected="0">
            <x v="2"/>
          </reference>
        </references>
      </pivotArea>
    </chartFormat>
    <chartFormat chart="21" format="53" series="1">
      <pivotArea type="data" outline="0" fieldPosition="0">
        <references count="1">
          <reference field="4294967294" count="1" selected="0">
            <x v="0"/>
          </reference>
        </references>
      </pivotArea>
    </chartFormat>
    <chartFormat chart="21" format="54">
      <pivotArea type="data" outline="0" fieldPosition="0">
        <references count="2">
          <reference field="4294967294" count="1" selected="0">
            <x v="0"/>
          </reference>
          <reference field="1" count="1" selected="0">
            <x v="0"/>
          </reference>
        </references>
      </pivotArea>
    </chartFormat>
    <chartFormat chart="21" format="55">
      <pivotArea type="data" outline="0" fieldPosition="0">
        <references count="2">
          <reference field="4294967294" count="1" selected="0">
            <x v="0"/>
          </reference>
          <reference field="1" count="1" selected="0">
            <x v="1"/>
          </reference>
        </references>
      </pivotArea>
    </chartFormat>
    <chartFormat chart="21" format="56">
      <pivotArea type="data" outline="0" fieldPosition="0">
        <references count="2">
          <reference field="4294967294" count="1" selected="0">
            <x v="0"/>
          </reference>
          <reference field="1" count="1" selected="0">
            <x v="2"/>
          </reference>
        </references>
      </pivotArea>
    </chartFormat>
    <chartFormat chart="22" format="57" series="1">
      <pivotArea type="data" outline="0" fieldPosition="0">
        <references count="1">
          <reference field="4294967294" count="1" selected="0">
            <x v="0"/>
          </reference>
        </references>
      </pivotArea>
    </chartFormat>
    <chartFormat chart="22" format="58">
      <pivotArea type="data" outline="0" fieldPosition="0">
        <references count="2">
          <reference field="4294967294" count="1" selected="0">
            <x v="0"/>
          </reference>
          <reference field="1" count="1" selected="0">
            <x v="0"/>
          </reference>
        </references>
      </pivotArea>
    </chartFormat>
    <chartFormat chart="22" format="59">
      <pivotArea type="data" outline="0" fieldPosition="0">
        <references count="2">
          <reference field="4294967294" count="1" selected="0">
            <x v="0"/>
          </reference>
          <reference field="1" count="1" selected="0">
            <x v="1"/>
          </reference>
        </references>
      </pivotArea>
    </chartFormat>
    <chartFormat chart="22" format="60">
      <pivotArea type="data" outline="0" fieldPosition="0">
        <references count="2">
          <reference field="4294967294" count="1" selected="0">
            <x v="0"/>
          </reference>
          <reference field="1" count="1" selected="0">
            <x v="2"/>
          </reference>
        </references>
      </pivotArea>
    </chartFormat>
    <chartFormat chart="20" format="72" series="1">
      <pivotArea type="data" outline="0" fieldPosition="0">
        <references count="1">
          <reference field="4294967294" count="1" selected="0">
            <x v="0"/>
          </reference>
        </references>
      </pivotArea>
    </chartFormat>
    <chartFormat chart="20" format="73">
      <pivotArea type="data" outline="0" fieldPosition="0">
        <references count="2">
          <reference field="4294967294" count="1" selected="0">
            <x v="0"/>
          </reference>
          <reference field="1" count="1" selected="0">
            <x v="0"/>
          </reference>
        </references>
      </pivotArea>
    </chartFormat>
    <chartFormat chart="20" format="74">
      <pivotArea type="data" outline="0" fieldPosition="0">
        <references count="2">
          <reference field="4294967294" count="1" selected="0">
            <x v="0"/>
          </reference>
          <reference field="1" count="1" selected="0">
            <x v="1"/>
          </reference>
        </references>
      </pivotArea>
    </chartFormat>
    <chartFormat chart="20" format="7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D80AC0-AA1E-45FF-A28B-2BF9452783CA}"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BG5:BI26" firstHeaderRow="1" firstDataRow="1" firstDataCol="2"/>
  <pivotFields count="17">
    <pivotField dataField="1" compact="0" outline="0" showAll="0"/>
    <pivotField axis="axisRow" compact="0" outline="0" multipleItemSelectionAllowed="1" showAll="0">
      <items count="4">
        <item x="0"/>
        <item x="1"/>
        <item x="2"/>
        <item t="default"/>
      </items>
    </pivotField>
    <pivotField axis="axisRow" compact="0" outline="0" multipleItemSelectionAllowed="1" showAll="0">
      <items count="7">
        <item x="3"/>
        <item x="1"/>
        <item x="5"/>
        <item x="4"/>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1"/>
  </rowFields>
  <rowItems count="21">
    <i>
      <x/>
      <x/>
    </i>
    <i r="1">
      <x v="1"/>
    </i>
    <i t="default">
      <x/>
    </i>
    <i>
      <x v="1"/>
      <x/>
    </i>
    <i r="1">
      <x v="1"/>
    </i>
    <i r="1">
      <x v="2"/>
    </i>
    <i t="default">
      <x v="1"/>
    </i>
    <i>
      <x v="2"/>
      <x v="2"/>
    </i>
    <i t="default">
      <x v="2"/>
    </i>
    <i>
      <x v="3"/>
      <x/>
    </i>
    <i r="1">
      <x v="1"/>
    </i>
    <i t="default">
      <x v="3"/>
    </i>
    <i>
      <x v="4"/>
      <x/>
    </i>
    <i r="1">
      <x v="1"/>
    </i>
    <i r="1">
      <x v="2"/>
    </i>
    <i t="default">
      <x v="4"/>
    </i>
    <i>
      <x v="5"/>
      <x/>
    </i>
    <i r="1">
      <x v="1"/>
    </i>
    <i r="1">
      <x v="2"/>
    </i>
    <i t="default">
      <x v="5"/>
    </i>
    <i t="grand">
      <x/>
    </i>
  </rowItems>
  <colItems count="1">
    <i/>
  </colItems>
  <dataFields count="1">
    <dataField name="Count of Student ID" fld="0" subtotal="count" baseField="0" baseItem="0"/>
  </dataFields>
  <chartFormats count="9">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48EB7A-C9C8-416B-9FDA-DF5FD267D946}"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N6:AR14" firstHeaderRow="1" firstDataRow="2" firstDataCol="1"/>
  <pivotFields count="17">
    <pivotField dataField="1" compact="0" outline="0" showAll="0"/>
    <pivotField axis="axisCol" compact="0" outline="0" showAll="0">
      <items count="4">
        <item x="0"/>
        <item x="1"/>
        <item x="2"/>
        <item t="default"/>
      </items>
    </pivotField>
    <pivotField axis="axisRow" compact="0" outline="0" showAll="0">
      <items count="7">
        <item x="3"/>
        <item x="1"/>
        <item x="5"/>
        <item x="4"/>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Fields count="1">
    <field x="1"/>
  </colFields>
  <colItems count="4">
    <i>
      <x/>
    </i>
    <i>
      <x v="1"/>
    </i>
    <i>
      <x v="2"/>
    </i>
    <i t="grand">
      <x/>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177AF-315E-4ECE-B169-8DD56A65555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676" firstHeaderRow="0" firstDataRow="1" firstDataCol="1"/>
  <pivotFields count="17">
    <pivotField axis="axisRow" showAll="0">
      <items count="6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t="default"/>
      </items>
    </pivotField>
    <pivotField showAll="0"/>
    <pivotField showAll="0">
      <items count="7">
        <item x="3"/>
        <item x="1"/>
        <item x="5"/>
        <item x="4"/>
        <item x="0"/>
        <item x="2"/>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0"/>
  </rowFields>
  <rowItems count="6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t="grand">
      <x/>
    </i>
  </rowItems>
  <colFields count="1">
    <field x="-2"/>
  </colFields>
  <colItems count="2">
    <i>
      <x/>
    </i>
    <i i="1">
      <x v="1"/>
    </i>
  </colItems>
  <dataFields count="2">
    <dataField name="Sum of Badges Count" fld="8" baseField="0" baseItem="0"/>
    <dataField name="Sum of Certificate 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F0AEA7-6683-48E1-894E-4ED4C51B962E}" name="Certification count"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K3:L59" firstHeaderRow="1" firstDataRow="1" firstDataCol="1"/>
  <pivotFields count="2">
    <pivotField axis="axisRow" allDrilled="1" subtotalTop="0" showAll="0" dataSourceSort="1" defaultSubtotal="0" defaultAttributeDrillState="1">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dataField="1" subtotalTop="0" showAll="0" defaultSubtotal="0"/>
  </pivotFields>
  <rowFields count="1">
    <field x="0"/>
  </rowFields>
  <rowItems count="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rowItems>
  <colItems count="1">
    <i/>
  </colItems>
  <dataFields count="1">
    <dataField name="Distinct Count of Student ID" fld="1"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tudent ID"/>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xlsx!StudentData">
        <x15:activeTabTopLevelEntity name="[Student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5641AD-DEEB-461A-9F2B-54DF0C4CD688}" name="PivotTable9"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BR138:BS145" firstHeaderRow="1" firstDataRow="1" firstDataCol="1"/>
  <pivotFields count="17">
    <pivotField compact="0" outline="0" showAll="0"/>
    <pivotField compact="0" outline="0" showAll="0">
      <items count="4">
        <item x="0"/>
        <item x="1"/>
        <item x="2"/>
        <item t="default"/>
      </items>
    </pivotField>
    <pivotField axis="axisRow" compact="0" outline="0" showAll="0">
      <items count="7">
        <item x="3"/>
        <item x="1"/>
        <item x="5"/>
        <item x="4"/>
        <item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Items count="1">
    <i/>
  </colItems>
  <dataFields count="1">
    <dataField name="Sum of Badges Count" fld="8" baseField="0" baseItem="0"/>
  </dataFields>
  <chartFormats count="35">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0"/>
          </reference>
        </references>
      </pivotArea>
    </chartFormat>
    <chartFormat chart="2" format="16">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pivotArea type="data" outline="0" fieldPosition="0">
        <references count="2">
          <reference field="4294967294" count="1" selected="0">
            <x v="0"/>
          </reference>
          <reference field="2" count="1" selected="0">
            <x v="5"/>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2" count="1" selected="0">
            <x v="0"/>
          </reference>
        </references>
      </pivotArea>
    </chartFormat>
    <chartFormat chart="3" format="23">
      <pivotArea type="data" outline="0" fieldPosition="0">
        <references count="2">
          <reference field="4294967294" count="1" selected="0">
            <x v="0"/>
          </reference>
          <reference field="2" count="1" selected="0">
            <x v="1"/>
          </reference>
        </references>
      </pivotArea>
    </chartFormat>
    <chartFormat chart="3" format="24">
      <pivotArea type="data" outline="0" fieldPosition="0">
        <references count="2">
          <reference field="4294967294" count="1" selected="0">
            <x v="0"/>
          </reference>
          <reference field="2" count="1" selected="0">
            <x v="2"/>
          </reference>
        </references>
      </pivotArea>
    </chartFormat>
    <chartFormat chart="3" format="25">
      <pivotArea type="data" outline="0" fieldPosition="0">
        <references count="2">
          <reference field="4294967294" count="1" selected="0">
            <x v="0"/>
          </reference>
          <reference field="2" count="1" selected="0">
            <x v="3"/>
          </reference>
        </references>
      </pivotArea>
    </chartFormat>
    <chartFormat chart="3" format="26">
      <pivotArea type="data" outline="0" fieldPosition="0">
        <references count="2">
          <reference field="4294967294" count="1" selected="0">
            <x v="0"/>
          </reference>
          <reference field="2" count="1" selected="0">
            <x v="4"/>
          </reference>
        </references>
      </pivotArea>
    </chartFormat>
    <chartFormat chart="3" format="27">
      <pivotArea type="data" outline="0" fieldPosition="0">
        <references count="2">
          <reference field="4294967294" count="1" selected="0">
            <x v="0"/>
          </reference>
          <reference field="2" count="1" selected="0">
            <x v="5"/>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2" count="1" selected="0">
            <x v="0"/>
          </reference>
        </references>
      </pivotArea>
    </chartFormat>
    <chartFormat chart="4" format="30">
      <pivotArea type="data" outline="0" fieldPosition="0">
        <references count="2">
          <reference field="4294967294" count="1" selected="0">
            <x v="0"/>
          </reference>
          <reference field="2" count="1" selected="0">
            <x v="1"/>
          </reference>
        </references>
      </pivotArea>
    </chartFormat>
    <chartFormat chart="4" format="31">
      <pivotArea type="data" outline="0" fieldPosition="0">
        <references count="2">
          <reference field="4294967294" count="1" selected="0">
            <x v="0"/>
          </reference>
          <reference field="2" count="1" selected="0">
            <x v="2"/>
          </reference>
        </references>
      </pivotArea>
    </chartFormat>
    <chartFormat chart="4" format="32">
      <pivotArea type="data" outline="0" fieldPosition="0">
        <references count="2">
          <reference field="4294967294" count="1" selected="0">
            <x v="0"/>
          </reference>
          <reference field="2" count="1" selected="0">
            <x v="3"/>
          </reference>
        </references>
      </pivotArea>
    </chartFormat>
    <chartFormat chart="4" format="33">
      <pivotArea type="data" outline="0" fieldPosition="0">
        <references count="2">
          <reference field="4294967294" count="1" selected="0">
            <x v="0"/>
          </reference>
          <reference field="2" count="1" selected="0">
            <x v="4"/>
          </reference>
        </references>
      </pivotArea>
    </chartFormat>
    <chartFormat chart="4" format="3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5" format="49" series="1">
      <pivotArea type="data" outline="0" fieldPosition="0">
        <references count="1">
          <reference field="4294967294" count="1" selected="0">
            <x v="0"/>
          </reference>
        </references>
      </pivotArea>
    </chartFormat>
    <chartFormat chart="5" format="50">
      <pivotArea type="data" outline="0" fieldPosition="0">
        <references count="2">
          <reference field="4294967294" count="1" selected="0">
            <x v="0"/>
          </reference>
          <reference field="2" count="1" selected="0">
            <x v="0"/>
          </reference>
        </references>
      </pivotArea>
    </chartFormat>
    <chartFormat chart="5" format="51">
      <pivotArea type="data" outline="0" fieldPosition="0">
        <references count="2">
          <reference field="4294967294" count="1" selected="0">
            <x v="0"/>
          </reference>
          <reference field="2" count="1" selected="0">
            <x v="1"/>
          </reference>
        </references>
      </pivotArea>
    </chartFormat>
    <chartFormat chart="5" format="52">
      <pivotArea type="data" outline="0" fieldPosition="0">
        <references count="2">
          <reference field="4294967294" count="1" selected="0">
            <x v="0"/>
          </reference>
          <reference field="2" count="1" selected="0">
            <x v="2"/>
          </reference>
        </references>
      </pivotArea>
    </chartFormat>
    <chartFormat chart="5" format="53">
      <pivotArea type="data" outline="0" fieldPosition="0">
        <references count="2">
          <reference field="4294967294" count="1" selected="0">
            <x v="0"/>
          </reference>
          <reference field="2" count="1" selected="0">
            <x v="3"/>
          </reference>
        </references>
      </pivotArea>
    </chartFormat>
    <chartFormat chart="5" format="54">
      <pivotArea type="data" outline="0" fieldPosition="0">
        <references count="2">
          <reference field="4294967294" count="1" selected="0">
            <x v="0"/>
          </reference>
          <reference field="2" count="1" selected="0">
            <x v="4"/>
          </reference>
        </references>
      </pivotArea>
    </chartFormat>
    <chartFormat chart="5" format="55">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F1765E-D1AD-49D2-B6BA-CDB31DEA2022}" name="Best LeetCode Performers"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75" firstHeaderRow="1" firstDataRow="1" firstDataCol="1"/>
  <pivotFields count="17">
    <pivotField axis="axisRow" showAll="0">
      <items count="6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t="default"/>
      </items>
    </pivotField>
    <pivotField showAll="0"/>
    <pivotField showAll="0">
      <items count="7">
        <item x="3"/>
        <item x="1"/>
        <item x="5"/>
        <item x="4"/>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6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rowItems>
  <colItems count="1">
    <i/>
  </colItems>
  <dataFields count="1">
    <dataField name="Sum of LC Rank"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827FD2-A667-4333-82C6-00A21C673D36}"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K80:L87" firstHeaderRow="1" firstDataRow="1" firstDataCol="1"/>
  <pivotFields count="17">
    <pivotField dataField="1" compact="0" outline="0" showAll="0"/>
    <pivotField compact="0" outline="0" showAll="0">
      <items count="4">
        <item x="0"/>
        <item x="1"/>
        <item x="2"/>
        <item t="default"/>
      </items>
    </pivotField>
    <pivotField axis="axisRow" compact="0" outline="0" showAll="0">
      <items count="7">
        <item x="3"/>
        <item x="1"/>
        <item x="5"/>
        <item x="4"/>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Items count="1">
    <i/>
  </colItems>
  <dataFields count="1">
    <dataField name="Count of Student ID" fld="0" subtotal="count" baseField="0" baseItem="0"/>
  </dataFields>
  <chartFormats count="6">
    <chartFormat chart="0" format="8"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379274-9DC3-4E03-9A0A-E5D34F32C105}"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T6:AY13" firstHeaderRow="0" firstDataRow="1" firstDataCol="1"/>
  <pivotFields count="17">
    <pivotField compact="0" outline="0" showAll="0"/>
    <pivotField compact="0" outline="0" showAll="0">
      <items count="4">
        <item x="0"/>
        <item x="1"/>
        <item x="2"/>
        <item t="default"/>
      </items>
    </pivotField>
    <pivotField axis="axisRow" compact="0" outline="0" showAll="0">
      <items count="7">
        <item x="3"/>
        <item x="1"/>
        <item x="5"/>
        <item x="4"/>
        <item x="0"/>
        <item x="2"/>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Fields count="1">
    <field x="-2"/>
  </colFields>
  <colItems count="5">
    <i>
      <x/>
    </i>
    <i i="1">
      <x v="1"/>
    </i>
    <i i="2">
      <x v="2"/>
    </i>
    <i i="3">
      <x v="3"/>
    </i>
    <i i="4">
      <x v="4"/>
    </i>
  </colItems>
  <dataFields count="5">
    <dataField name="Sum of C Language" fld="3" baseField="0" baseItem="0"/>
    <dataField name="Sum of Cpp" fld="4" baseField="0" baseItem="0"/>
    <dataField name="Sum of Java" fld="5" baseField="0" baseItem="0"/>
    <dataField name="Sum of Sql" fld="7" baseField="0" baseItem="0"/>
    <dataField name="Sum of Pytho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1FA11C-7F8C-4656-AFFD-EAB7C421AAE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A128:EB135" firstHeaderRow="1" firstDataRow="1" firstDataCol="1"/>
  <pivotFields count="17">
    <pivotField showAll="0"/>
    <pivotField showAll="0"/>
    <pivotField axis="axisRow" showAll="0">
      <items count="7">
        <item x="3"/>
        <item x="1"/>
        <item x="5"/>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Certificate Count" fld="9" baseField="0" baseItem="0"/>
  </dataField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5"/>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0"/>
          </reference>
        </references>
      </pivotArea>
    </chartFormat>
    <chartFormat chart="2" format="16">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pivotArea type="data" outline="0" fieldPosition="0">
        <references count="2">
          <reference field="4294967294" count="1" selected="0">
            <x v="0"/>
          </reference>
          <reference field="2" count="1" selected="0">
            <x v="5"/>
          </reference>
        </references>
      </pivotArea>
    </chartFormat>
    <chartFormat chart="5" format="28"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2" count="1" selected="0">
            <x v="0"/>
          </reference>
        </references>
      </pivotArea>
    </chartFormat>
    <chartFormat chart="5" format="30">
      <pivotArea type="data" outline="0" fieldPosition="0">
        <references count="2">
          <reference field="4294967294" count="1" selected="0">
            <x v="0"/>
          </reference>
          <reference field="2" count="1" selected="0">
            <x v="1"/>
          </reference>
        </references>
      </pivotArea>
    </chartFormat>
    <chartFormat chart="5" format="31">
      <pivotArea type="data" outline="0" fieldPosition="0">
        <references count="2">
          <reference field="4294967294" count="1" selected="0">
            <x v="0"/>
          </reference>
          <reference field="2" count="1" selected="0">
            <x v="2"/>
          </reference>
        </references>
      </pivotArea>
    </chartFormat>
    <chartFormat chart="5" format="32">
      <pivotArea type="data" outline="0" fieldPosition="0">
        <references count="2">
          <reference field="4294967294" count="1" selected="0">
            <x v="0"/>
          </reference>
          <reference field="2" count="1" selected="0">
            <x v="3"/>
          </reference>
        </references>
      </pivotArea>
    </chartFormat>
    <chartFormat chart="5" format="33">
      <pivotArea type="data" outline="0" fieldPosition="0">
        <references count="2">
          <reference field="4294967294" count="1" selected="0">
            <x v="0"/>
          </reference>
          <reference field="2" count="1" selected="0">
            <x v="4"/>
          </reference>
        </references>
      </pivotArea>
    </chartFormat>
    <chartFormat chart="5" format="34">
      <pivotArea type="data" outline="0" fieldPosition="0">
        <references count="2">
          <reference field="4294967294" count="1" selected="0">
            <x v="0"/>
          </reference>
          <reference field="2" count="1" selected="0">
            <x v="5"/>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2" count="1" selected="0">
            <x v="0"/>
          </reference>
        </references>
      </pivotArea>
    </chartFormat>
    <chartFormat chart="6" format="37">
      <pivotArea type="data" outline="0" fieldPosition="0">
        <references count="2">
          <reference field="4294967294" count="1" selected="0">
            <x v="0"/>
          </reference>
          <reference field="2" count="1" selected="0">
            <x v="1"/>
          </reference>
        </references>
      </pivotArea>
    </chartFormat>
    <chartFormat chart="6" format="38">
      <pivotArea type="data" outline="0" fieldPosition="0">
        <references count="2">
          <reference field="4294967294" count="1" selected="0">
            <x v="0"/>
          </reference>
          <reference field="2" count="1" selected="0">
            <x v="2"/>
          </reference>
        </references>
      </pivotArea>
    </chartFormat>
    <chartFormat chart="6" format="39">
      <pivotArea type="data" outline="0" fieldPosition="0">
        <references count="2">
          <reference field="4294967294" count="1" selected="0">
            <x v="0"/>
          </reference>
          <reference field="2" count="1" selected="0">
            <x v="3"/>
          </reference>
        </references>
      </pivotArea>
    </chartFormat>
    <chartFormat chart="6" format="40">
      <pivotArea type="data" outline="0" fieldPosition="0">
        <references count="2">
          <reference field="4294967294" count="1" selected="0">
            <x v="0"/>
          </reference>
          <reference field="2" count="1" selected="0">
            <x v="4"/>
          </reference>
        </references>
      </pivotArea>
    </chartFormat>
    <chartFormat chart="6" format="41">
      <pivotArea type="data" outline="0" fieldPosition="0">
        <references count="2">
          <reference field="4294967294" count="1" selected="0">
            <x v="0"/>
          </reference>
          <reference field="2" count="1" selected="0">
            <x v="5"/>
          </reference>
        </references>
      </pivotArea>
    </chartFormat>
    <chartFormat chart="7" format="56" series="1">
      <pivotArea type="data" outline="0" fieldPosition="0">
        <references count="1">
          <reference field="4294967294" count="1" selected="0">
            <x v="0"/>
          </reference>
        </references>
      </pivotArea>
    </chartFormat>
    <chartFormat chart="7" format="57">
      <pivotArea type="data" outline="0" fieldPosition="0">
        <references count="2">
          <reference field="4294967294" count="1" selected="0">
            <x v="0"/>
          </reference>
          <reference field="2" count="1" selected="0">
            <x v="0"/>
          </reference>
        </references>
      </pivotArea>
    </chartFormat>
    <chartFormat chart="7" format="58">
      <pivotArea type="data" outline="0" fieldPosition="0">
        <references count="2">
          <reference field="4294967294" count="1" selected="0">
            <x v="0"/>
          </reference>
          <reference field="2" count="1" selected="0">
            <x v="1"/>
          </reference>
        </references>
      </pivotArea>
    </chartFormat>
    <chartFormat chart="7" format="59">
      <pivotArea type="data" outline="0" fieldPosition="0">
        <references count="2">
          <reference field="4294967294" count="1" selected="0">
            <x v="0"/>
          </reference>
          <reference field="2" count="1" selected="0">
            <x v="2"/>
          </reference>
        </references>
      </pivotArea>
    </chartFormat>
    <chartFormat chart="7" format="60">
      <pivotArea type="data" outline="0" fieldPosition="0">
        <references count="2">
          <reference field="4294967294" count="1" selected="0">
            <x v="0"/>
          </reference>
          <reference field="2" count="1" selected="0">
            <x v="3"/>
          </reference>
        </references>
      </pivotArea>
    </chartFormat>
    <chartFormat chart="7" format="61">
      <pivotArea type="data" outline="0" fieldPosition="0">
        <references count="2">
          <reference field="4294967294" count="1" selected="0">
            <x v="0"/>
          </reference>
          <reference field="2" count="1" selected="0">
            <x v="4"/>
          </reference>
        </references>
      </pivotArea>
    </chartFormat>
    <chartFormat chart="7" format="62">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D1B8B2-446C-4C82-8305-28988BFD2CC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chartFormat="15">
  <location ref="CX130:CZ131" firstHeaderRow="0" firstDataRow="1" firstDataCol="0" rowPageCount="1" colPageCount="1"/>
  <pivotFields count="17">
    <pivotField showAll="0"/>
    <pivotField axis="axisPage" multipleItemSelectionAllowed="1" showAll="0">
      <items count="4">
        <item x="0"/>
        <item x="1"/>
        <item x="2"/>
        <item t="default"/>
      </items>
    </pivotField>
    <pivotField showAll="0">
      <items count="7">
        <item x="3"/>
        <item x="1"/>
        <item x="5"/>
        <item x="4"/>
        <item x="0"/>
        <item x="2"/>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s>
  <rowItems count="1">
    <i/>
  </rowItems>
  <colFields count="1">
    <field x="-2"/>
  </colFields>
  <colItems count="3">
    <i>
      <x/>
    </i>
    <i i="1">
      <x v="1"/>
    </i>
    <i i="2">
      <x v="2"/>
    </i>
  </colItems>
  <pageFields count="1">
    <pageField fld="1" hier="-1"/>
  </pageFields>
  <dataFields count="3">
    <dataField name="Sum of CC Problem Count" fld="15" baseField="1" baseItem="0"/>
    <dataField name="Sum of GFG Count" fld="13" baseField="0" baseItem="0"/>
    <dataField name="Sum of LC Program Count" fld="11" baseField="0" baseItem="0"/>
  </dataFields>
  <chartFormats count="21">
    <chartFormat chart="9" format="33" series="1">
      <pivotArea type="data" outline="0" fieldPosition="0">
        <references count="1">
          <reference field="4294967294" count="1" selected="0">
            <x v="0"/>
          </reference>
        </references>
      </pivotArea>
    </chartFormat>
    <chartFormat chart="9" format="34">
      <pivotArea type="data" outline="0" fieldPosition="0">
        <references count="2">
          <reference field="4294967294" count="1" selected="0">
            <x v="0"/>
          </reference>
          <reference field="1" count="1" selected="0">
            <x v="0"/>
          </reference>
        </references>
      </pivotArea>
    </chartFormat>
    <chartFormat chart="9" format="35">
      <pivotArea type="data" outline="0" fieldPosition="0">
        <references count="2">
          <reference field="4294967294" count="1" selected="0">
            <x v="0"/>
          </reference>
          <reference field="1" count="1" selected="0">
            <x v="1"/>
          </reference>
        </references>
      </pivotArea>
    </chartFormat>
    <chartFormat chart="9" format="36">
      <pivotArea type="data" outline="0" fieldPosition="0">
        <references count="2">
          <reference field="4294967294" count="1" selected="0">
            <x v="0"/>
          </reference>
          <reference field="1" count="1" selected="0">
            <x v="2"/>
          </reference>
        </references>
      </pivotArea>
    </chartFormat>
    <chartFormat chart="9" format="37" series="1">
      <pivotArea type="data" outline="0" fieldPosition="0">
        <references count="1">
          <reference field="4294967294" count="1" selected="0">
            <x v="1"/>
          </reference>
        </references>
      </pivotArea>
    </chartFormat>
    <chartFormat chart="9" format="38">
      <pivotArea type="data" outline="0" fieldPosition="0">
        <references count="2">
          <reference field="4294967294" count="1" selected="0">
            <x v="1"/>
          </reference>
          <reference field="1" count="1" selected="0">
            <x v="0"/>
          </reference>
        </references>
      </pivotArea>
    </chartFormat>
    <chartFormat chart="9" format="39">
      <pivotArea type="data" outline="0" fieldPosition="0">
        <references count="2">
          <reference field="4294967294" count="1" selected="0">
            <x v="1"/>
          </reference>
          <reference field="1" count="1" selected="0">
            <x v="1"/>
          </reference>
        </references>
      </pivotArea>
    </chartFormat>
    <chartFormat chart="9" format="40">
      <pivotArea type="data" outline="0" fieldPosition="0">
        <references count="2">
          <reference field="4294967294" count="1" selected="0">
            <x v="1"/>
          </reference>
          <reference field="1" count="1" selected="0">
            <x v="2"/>
          </reference>
        </references>
      </pivotArea>
    </chartFormat>
    <chartFormat chart="9" format="41" series="1">
      <pivotArea type="data" outline="0" fieldPosition="0">
        <references count="1">
          <reference field="4294967294" count="1" selected="0">
            <x v="2"/>
          </reference>
        </references>
      </pivotArea>
    </chartFormat>
    <chartFormat chart="9" format="42">
      <pivotArea type="data" outline="0" fieldPosition="0">
        <references count="2">
          <reference field="4294967294" count="1" selected="0">
            <x v="2"/>
          </reference>
          <reference field="1" count="1" selected="0">
            <x v="0"/>
          </reference>
        </references>
      </pivotArea>
    </chartFormat>
    <chartFormat chart="9" format="43">
      <pivotArea type="data" outline="0" fieldPosition="0">
        <references count="2">
          <reference field="4294967294" count="1" selected="0">
            <x v="2"/>
          </reference>
          <reference field="1" count="1" selected="0">
            <x v="1"/>
          </reference>
        </references>
      </pivotArea>
    </chartFormat>
    <chartFormat chart="9" format="44">
      <pivotArea type="data" outline="0" fieldPosition="0">
        <references count="2">
          <reference field="4294967294" count="1" selected="0">
            <x v="2"/>
          </reference>
          <reference field="1"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 chart="13" format="15" series="1">
      <pivotArea type="data" outline="0" fieldPosition="0">
        <references count="1">
          <reference field="4294967294" count="1" selected="0">
            <x v="0"/>
          </reference>
        </references>
      </pivotArea>
    </chartFormat>
    <chartFormat chart="13" format="16" series="1">
      <pivotArea type="data" outline="0" fieldPosition="0">
        <references count="1">
          <reference field="4294967294" count="1" selected="0">
            <x v="1"/>
          </reference>
        </references>
      </pivotArea>
    </chartFormat>
    <chartFormat chart="13"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54C59F-A816-4718-8D66-9C2006A95291}"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C10:CD17" firstHeaderRow="1" firstDataRow="1" firstDataCol="1"/>
  <pivotFields count="17">
    <pivotField compact="0" outline="0" showAll="0"/>
    <pivotField compact="0" outline="0" showAll="0"/>
    <pivotField axis="axisRow" compact="0" outline="0" showAll="0">
      <items count="7">
        <item x="3"/>
        <item x="1"/>
        <item x="5"/>
        <item x="4"/>
        <item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Items count="1">
    <i/>
  </colItems>
  <dataFields count="1">
    <dataField name="Sum of Badges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338C41C-696B-4E57-A5C0-7D83BE0AFC1F}" name="Problem count"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3">
  <location ref="B3:D4" firstHeaderRow="0" firstDataRow="1" firstDataCol="0"/>
  <pivotFields count="15">
    <pivotField compact="0" outline="0" showAll="0">
      <items count="6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8">
        <item x="23"/>
        <item x="33"/>
        <item x="43"/>
        <item x="13"/>
        <item x="30"/>
        <item x="36"/>
        <item x="41"/>
        <item x="27"/>
        <item x="53"/>
        <item x="14"/>
        <item x="24"/>
        <item x="0"/>
        <item x="35"/>
        <item x="18"/>
        <item x="46"/>
        <item x="45"/>
        <item x="19"/>
        <item x="47"/>
        <item x="26"/>
        <item x="54"/>
        <item x="29"/>
        <item x="48"/>
        <item x="28"/>
        <item x="49"/>
        <item x="50"/>
        <item x="16"/>
        <item x="4"/>
        <item x="52"/>
        <item x="7"/>
        <item x="39"/>
        <item x="1"/>
        <item x="32"/>
        <item x="44"/>
        <item x="5"/>
        <item x="15"/>
        <item x="12"/>
        <item x="38"/>
        <item x="42"/>
        <item x="25"/>
        <item x="6"/>
        <item x="11"/>
        <item x="37"/>
        <item x="2"/>
        <item x="34"/>
        <item x="31"/>
        <item x="20"/>
        <item x="17"/>
        <item x="10"/>
        <item x="55"/>
        <item x="21"/>
        <item x="8"/>
        <item x="40"/>
        <item x="3"/>
        <item x="22"/>
        <item x="9"/>
        <item x="51"/>
        <item x="56"/>
        <item t="default"/>
      </items>
    </pivotField>
    <pivotField dataField="1" compact="0" outline="0" showAll="0"/>
    <pivotField compact="0" outline="0" showAll="0"/>
    <pivotField dataField="1" compact="0" outline="0" showAll="0"/>
    <pivotField compact="0" outline="0" showAll="0"/>
    <pivotField dataField="1" compact="0" outline="0" showAll="0"/>
    <pivotField compact="0" outline="0" showAll="0"/>
  </pivotFields>
  <rowItems count="1">
    <i/>
  </rowItems>
  <colFields count="1">
    <field x="-2"/>
  </colFields>
  <colItems count="3">
    <i>
      <x/>
    </i>
    <i i="1">
      <x v="1"/>
    </i>
    <i i="2">
      <x v="2"/>
    </i>
  </colItems>
  <dataFields count="3">
    <dataField name="Sum of LC Program Count" fld="9" baseField="0" baseItem="0"/>
    <dataField name="Sum of GFG Count" fld="11" baseField="0" baseItem="0"/>
    <dataField name="Sum of CC Problem Count" fld="13" baseField="0" baseItem="0"/>
  </dataFields>
  <chartFormats count="30">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B97FB2-CAA5-4E97-B221-EED3A65B41CD}" name="Top GFG Coders"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N3:O675" firstHeaderRow="1" firstDataRow="1" firstDataCol="1"/>
  <pivotFields count="17">
    <pivotField axis="axisRow" showAll="0">
      <items count="6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t="default"/>
      </items>
    </pivotField>
    <pivotField showAll="0"/>
    <pivotField showAll="0">
      <items count="7">
        <item x="3"/>
        <item x="1"/>
        <item x="5"/>
        <item x="4"/>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rowItems>
  <colItems count="1">
    <i/>
  </colItems>
  <dataFields count="1">
    <dataField name="Sum of GFG Overall Coding Scor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ge" xr10:uid="{FE854410-9F62-4A0A-9502-93FA45B7C6EF}" sourceName="College">
  <pivotTables>
    <pivotTable tabId="3" name="PivotTable11"/>
    <pivotTable tabId="3" name="PivotTable2"/>
    <pivotTable tabId="3" name="PivotTable4"/>
    <pivotTable tabId="3" name="PivotTable7"/>
    <pivotTable tabId="3" name="PivotTable8"/>
    <pivotTable tabId="3" name="PivotTable9"/>
  </pivotTables>
  <data>
    <tabular pivotCacheId="3798264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5431294-337B-415E-A2D7-EC9261C0DC3C}" sourceName="Branch">
  <pivotTables>
    <pivotTable tabId="3" name="PivotTable11"/>
    <pivotTable tabId="3" name="Best LeetCode Performers"/>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 tabId="3" name="Top GFG Coders"/>
  </pivotTables>
  <data>
    <tabular pivotCacheId="379826484">
      <items count="6">
        <i x="3" s="1"/>
        <i x="1" s="1"/>
        <i x="5"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lege" xr10:uid="{4B94FCB8-83C3-480B-AA1C-CF1FC255610B}" cache="Slicer_College" caption="College" style="SlicerStyleDark2" rowHeight="247650"/>
  <slicer name="Branch" xr10:uid="{B4E4BB39-EA06-4FE5-8918-276466DE2920}" cache="Slicer_Branch" caption="Branch"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20D63C-8291-4568-BD15-D0EACA6D4AD6}" name="StudentData" displayName="StudentData" ref="A1:Q674" totalsRowCount="1" headerRowDxfId="0">
  <autoFilter ref="A1:Q673" xr:uid="{5C20D63C-8291-4568-BD15-D0EACA6D4AD6}"/>
  <sortState xmlns:xlrd2="http://schemas.microsoft.com/office/spreadsheetml/2017/richdata2" ref="A2:Q673">
    <sortCondition ref="A1:A673"/>
  </sortState>
  <tableColumns count="17">
    <tableColumn id="1" xr3:uid="{7A0E28E1-145F-4A96-A9D3-C0680CFCF2B9}" name="Student ID"/>
    <tableColumn id="17" xr3:uid="{8E3E8A19-4BA3-4DC1-BE0C-793D609F345C}" name="College"/>
    <tableColumn id="18" xr3:uid="{1C66E6F7-93F6-4353-87AB-FBF8925B6ABF}" name="Branch"/>
    <tableColumn id="2" xr3:uid="{69469BAC-4F09-405A-9666-DA1AA84B10E4}" name="C Language"/>
    <tableColumn id="3" xr3:uid="{F242BFA0-02BF-463B-947D-4654881480BF}" name="Cpp"/>
    <tableColumn id="4" xr3:uid="{958A5E11-7BD2-409C-ADD9-8D6803B078EF}" name="Java"/>
    <tableColumn id="5" xr3:uid="{6A1117FE-19AD-4F19-A6B2-D7CEB661973A}" name="Python"/>
    <tableColumn id="6" xr3:uid="{BEB4FBBD-394F-44D2-AF02-735D3AC41345}" name="Sql"/>
    <tableColumn id="7" xr3:uid="{546364D2-3FAE-42BA-9E61-29E0DC380642}" name="Badges Count"/>
    <tableColumn id="8" xr3:uid="{BD80832B-BA58-4150-A8E3-49DB6D6852C8}" name="Certificate Count"/>
    <tableColumn id="9" xr3:uid="{01C3565D-7F49-47D4-9F1E-BDD1BF90E4A7}" name="Certifications"/>
    <tableColumn id="10" xr3:uid="{57C153B3-18A3-4ECC-8279-0990E371F458}" name="LC Program Count" totalsRowFunction="custom">
      <totalsRowFormula>SUM(StudentData[LC Program Count])</totalsRowFormula>
    </tableColumn>
    <tableColumn id="11" xr3:uid="{1FBD7657-DDD7-4414-BD72-4147A58672A8}" name="LC Rank"/>
    <tableColumn id="12" xr3:uid="{032F2F69-6267-4FCD-8A91-B564F8E7CD7E}" name="GFG Count"/>
    <tableColumn id="13" xr3:uid="{0BD5EE41-3ED7-4BF7-837B-5A916ABD7457}" name="GFG Overall Coding Score"/>
    <tableColumn id="14" xr3:uid="{CF8E7C1C-EDB4-45B3-A5B3-3FA51CDD8602}" name="CC Problem Count"/>
    <tableColumn id="15" xr3:uid="{9C914618-A97E-4851-ABE0-09BF5CA7709E}" name="email">
      <calculatedColumnFormula>LOWER(A2) &amp;"@aect.dummy.in"</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7"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image" Target="../media/image3.emf"/><Relationship Id="rId3" Type="http://schemas.openxmlformats.org/officeDocument/2006/relationships/pivotTable" Target="../pivotTables/pivotTable3.xml"/><Relationship Id="rId21" Type="http://schemas.openxmlformats.org/officeDocument/2006/relationships/control" Target="../activeX/activeX5.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control" Target="../activeX/activeX3.xml"/><Relationship Id="rId2" Type="http://schemas.openxmlformats.org/officeDocument/2006/relationships/pivotTable" Target="../pivotTables/pivotTable2.xml"/><Relationship Id="rId16" Type="http://schemas.openxmlformats.org/officeDocument/2006/relationships/vmlDrawing" Target="../drawings/vmlDrawing2.vml"/><Relationship Id="rId20" Type="http://schemas.openxmlformats.org/officeDocument/2006/relationships/image" Target="../media/image4.emf"/><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19" Type="http://schemas.openxmlformats.org/officeDocument/2006/relationships/control" Target="../activeX/activeX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image" Target="../media/image5.emf"/></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image" Target="../media/image6.emf"/><Relationship Id="rId4"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ADDA-45F4-4A1D-910D-FF5D85210849}">
  <sheetPr codeName="Sheet1"/>
  <dimension ref="A1:V674"/>
  <sheetViews>
    <sheetView topLeftCell="A3" zoomScale="77" workbookViewId="0">
      <selection activeCell="S26" sqref="S26"/>
    </sheetView>
  </sheetViews>
  <sheetFormatPr defaultColWidth="53.33203125" defaultRowHeight="15" customHeight="1" x14ac:dyDescent="0.3"/>
  <cols>
    <col min="1" max="1" width="13" bestFit="1" customWidth="1"/>
    <col min="2" max="3" width="13" customWidth="1"/>
    <col min="4" max="4" width="13.6640625" bestFit="1" customWidth="1"/>
    <col min="5" max="5" width="7.44140625" bestFit="1" customWidth="1"/>
    <col min="6" max="6" width="7.6640625" bestFit="1" customWidth="1"/>
    <col min="7" max="7" width="9.88671875" bestFit="1" customWidth="1"/>
    <col min="8" max="8" width="6.88671875" bestFit="1" customWidth="1"/>
    <col min="9" max="9" width="15.6640625" bestFit="1" customWidth="1"/>
    <col min="10" max="10" width="19" bestFit="1" customWidth="1"/>
    <col min="11" max="11" width="56" customWidth="1"/>
    <col min="12" max="12" width="19.6640625" bestFit="1" customWidth="1"/>
    <col min="13" max="13" width="11.109375" bestFit="1" customWidth="1"/>
    <col min="14" max="14" width="13.33203125" bestFit="1" customWidth="1"/>
    <col min="15" max="15" width="27" bestFit="1" customWidth="1"/>
    <col min="16" max="16" width="20.33203125" bestFit="1" customWidth="1"/>
    <col min="17" max="17" width="27.6640625" bestFit="1" customWidth="1"/>
    <col min="18" max="18" width="17.109375" customWidth="1"/>
    <col min="19" max="19" width="67.44140625" customWidth="1"/>
    <col min="20" max="20" width="27.6640625" customWidth="1"/>
  </cols>
  <sheetData>
    <row r="1" spans="1:22"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row>
    <row r="2" spans="1:22" ht="14.4" x14ac:dyDescent="0.3">
      <c r="A2" t="s">
        <v>17</v>
      </c>
      <c r="B2" t="s">
        <v>18</v>
      </c>
      <c r="C2" t="s">
        <v>19</v>
      </c>
      <c r="D2">
        <v>5</v>
      </c>
      <c r="E2">
        <v>0</v>
      </c>
      <c r="F2">
        <v>0</v>
      </c>
      <c r="G2">
        <v>0</v>
      </c>
      <c r="H2">
        <v>0</v>
      </c>
      <c r="I2">
        <v>1</v>
      </c>
      <c r="J2">
        <v>0</v>
      </c>
      <c r="K2" t="s">
        <v>20</v>
      </c>
      <c r="L2">
        <v>0</v>
      </c>
      <c r="M2">
        <v>5000001</v>
      </c>
      <c r="N2">
        <v>0</v>
      </c>
      <c r="O2">
        <v>0</v>
      </c>
      <c r="P2">
        <v>291</v>
      </c>
      <c r="Q2" t="str">
        <f t="shared" ref="Q2:Q33" si="0">LOWER(A2) &amp;"@aect.dummy.in"</f>
        <v>23a91a0401@aect.dummy.in</v>
      </c>
    </row>
    <row r="3" spans="1:22" ht="14.4" x14ac:dyDescent="0.3">
      <c r="A3" t="s">
        <v>21</v>
      </c>
      <c r="B3" t="s">
        <v>18</v>
      </c>
      <c r="C3" t="s">
        <v>19</v>
      </c>
      <c r="D3">
        <v>0</v>
      </c>
      <c r="E3">
        <v>0</v>
      </c>
      <c r="F3">
        <v>0</v>
      </c>
      <c r="G3">
        <v>0</v>
      </c>
      <c r="H3">
        <v>0</v>
      </c>
      <c r="I3">
        <v>0</v>
      </c>
      <c r="J3">
        <v>0</v>
      </c>
      <c r="K3" t="s">
        <v>20</v>
      </c>
      <c r="L3">
        <v>0</v>
      </c>
      <c r="M3">
        <v>5000001</v>
      </c>
      <c r="N3">
        <v>0</v>
      </c>
      <c r="O3">
        <v>0</v>
      </c>
      <c r="P3">
        <v>0</v>
      </c>
      <c r="Q3" t="str">
        <f t="shared" si="0"/>
        <v>23a91a0408@aect.dummy.in</v>
      </c>
    </row>
    <row r="4" spans="1:22" ht="14.4" x14ac:dyDescent="0.3">
      <c r="A4" t="s">
        <v>22</v>
      </c>
      <c r="B4" t="s">
        <v>18</v>
      </c>
      <c r="C4" t="s">
        <v>19</v>
      </c>
      <c r="D4">
        <v>5</v>
      </c>
      <c r="E4">
        <v>0</v>
      </c>
      <c r="F4">
        <v>0</v>
      </c>
      <c r="G4">
        <v>1</v>
      </c>
      <c r="H4">
        <v>0</v>
      </c>
      <c r="I4">
        <v>2</v>
      </c>
      <c r="J4">
        <v>0</v>
      </c>
      <c r="K4" t="s">
        <v>20</v>
      </c>
      <c r="L4">
        <v>49</v>
      </c>
      <c r="M4">
        <v>2010823</v>
      </c>
      <c r="N4">
        <v>3</v>
      </c>
      <c r="O4">
        <v>4</v>
      </c>
      <c r="P4">
        <v>176</v>
      </c>
      <c r="Q4" t="str">
        <f t="shared" si="0"/>
        <v>23a91a0416@aect.dummy.in</v>
      </c>
    </row>
    <row r="5" spans="1:22" ht="14.4" x14ac:dyDescent="0.3">
      <c r="A5" t="s">
        <v>23</v>
      </c>
      <c r="B5" t="s">
        <v>18</v>
      </c>
      <c r="C5" t="s">
        <v>19</v>
      </c>
      <c r="D5">
        <v>4</v>
      </c>
      <c r="E5">
        <v>0</v>
      </c>
      <c r="F5">
        <v>0</v>
      </c>
      <c r="G5">
        <v>0</v>
      </c>
      <c r="H5">
        <v>0</v>
      </c>
      <c r="I5">
        <v>1</v>
      </c>
      <c r="J5">
        <v>0</v>
      </c>
      <c r="K5" t="s">
        <v>20</v>
      </c>
      <c r="L5">
        <v>6</v>
      </c>
      <c r="M5">
        <v>5000001</v>
      </c>
      <c r="N5">
        <v>0</v>
      </c>
      <c r="O5">
        <v>0</v>
      </c>
      <c r="P5">
        <v>254</v>
      </c>
      <c r="Q5" t="str">
        <f t="shared" si="0"/>
        <v>23a91a0417@aect.dummy.in</v>
      </c>
    </row>
    <row r="6" spans="1:22" ht="14.4" x14ac:dyDescent="0.3">
      <c r="A6" t="s">
        <v>24</v>
      </c>
      <c r="B6" t="s">
        <v>18</v>
      </c>
      <c r="C6" t="s">
        <v>19</v>
      </c>
      <c r="D6">
        <v>5</v>
      </c>
      <c r="E6">
        <v>0</v>
      </c>
      <c r="F6">
        <v>0</v>
      </c>
      <c r="G6">
        <v>0</v>
      </c>
      <c r="H6">
        <v>0</v>
      </c>
      <c r="I6">
        <v>1</v>
      </c>
      <c r="J6">
        <v>0</v>
      </c>
      <c r="K6" t="s">
        <v>20</v>
      </c>
      <c r="L6">
        <v>0</v>
      </c>
      <c r="M6">
        <v>5000001</v>
      </c>
      <c r="N6">
        <v>0</v>
      </c>
      <c r="O6">
        <v>0</v>
      </c>
      <c r="P6">
        <v>18</v>
      </c>
      <c r="Q6" t="str">
        <f t="shared" si="0"/>
        <v>23a91a0423@aect.dummy.in</v>
      </c>
    </row>
    <row r="7" spans="1:22" ht="14.4" x14ac:dyDescent="0.3">
      <c r="A7" t="s">
        <v>25</v>
      </c>
      <c r="B7" t="s">
        <v>18</v>
      </c>
      <c r="C7" t="s">
        <v>19</v>
      </c>
      <c r="D7">
        <v>5</v>
      </c>
      <c r="E7">
        <v>0</v>
      </c>
      <c r="F7">
        <v>0</v>
      </c>
      <c r="G7">
        <v>0</v>
      </c>
      <c r="H7">
        <v>0</v>
      </c>
      <c r="I7">
        <v>1</v>
      </c>
      <c r="J7">
        <v>0</v>
      </c>
      <c r="K7" t="s">
        <v>20</v>
      </c>
      <c r="L7">
        <v>0</v>
      </c>
      <c r="M7">
        <v>5000001</v>
      </c>
      <c r="N7">
        <v>0</v>
      </c>
      <c r="O7">
        <v>0</v>
      </c>
      <c r="P7">
        <v>0</v>
      </c>
      <c r="Q7" t="str">
        <f t="shared" si="0"/>
        <v>23a91a0424@aect.dummy.in</v>
      </c>
    </row>
    <row r="8" spans="1:22" ht="14.4" x14ac:dyDescent="0.3">
      <c r="A8" t="s">
        <v>26</v>
      </c>
      <c r="B8" t="s">
        <v>18</v>
      </c>
      <c r="C8" t="s">
        <v>19</v>
      </c>
      <c r="D8">
        <v>5</v>
      </c>
      <c r="E8">
        <v>0</v>
      </c>
      <c r="F8">
        <v>0</v>
      </c>
      <c r="G8">
        <v>0</v>
      </c>
      <c r="H8">
        <v>0</v>
      </c>
      <c r="I8">
        <v>1</v>
      </c>
      <c r="J8">
        <v>0</v>
      </c>
      <c r="K8" t="s">
        <v>20</v>
      </c>
      <c r="L8">
        <v>0</v>
      </c>
      <c r="M8">
        <v>5000001</v>
      </c>
      <c r="N8">
        <v>0</v>
      </c>
      <c r="O8">
        <v>0</v>
      </c>
      <c r="P8">
        <v>0</v>
      </c>
      <c r="Q8" t="str">
        <f t="shared" si="0"/>
        <v>23a91a0426@aect.dummy.in</v>
      </c>
    </row>
    <row r="9" spans="1:22" ht="14.4" x14ac:dyDescent="0.3">
      <c r="A9" t="s">
        <v>27</v>
      </c>
      <c r="B9" t="s">
        <v>18</v>
      </c>
      <c r="C9" t="s">
        <v>19</v>
      </c>
      <c r="D9">
        <v>4</v>
      </c>
      <c r="E9">
        <v>0</v>
      </c>
      <c r="F9">
        <v>0</v>
      </c>
      <c r="G9">
        <v>0</v>
      </c>
      <c r="H9">
        <v>0</v>
      </c>
      <c r="I9">
        <v>1</v>
      </c>
      <c r="J9">
        <v>0</v>
      </c>
      <c r="K9" t="s">
        <v>20</v>
      </c>
      <c r="L9">
        <v>0</v>
      </c>
      <c r="M9">
        <v>5000001</v>
      </c>
      <c r="N9">
        <v>0</v>
      </c>
      <c r="O9">
        <v>0</v>
      </c>
      <c r="P9">
        <v>14</v>
      </c>
      <c r="Q9" t="str">
        <f t="shared" si="0"/>
        <v>23a91a0429@aect.dummy.in</v>
      </c>
      <c r="V9" t="s">
        <v>28</v>
      </c>
    </row>
    <row r="10" spans="1:22" ht="14.4" x14ac:dyDescent="0.3">
      <c r="A10" t="s">
        <v>29</v>
      </c>
      <c r="B10" t="s">
        <v>18</v>
      </c>
      <c r="C10" t="s">
        <v>19</v>
      </c>
      <c r="D10">
        <v>0</v>
      </c>
      <c r="E10">
        <v>0</v>
      </c>
      <c r="F10">
        <v>0</v>
      </c>
      <c r="G10">
        <v>0</v>
      </c>
      <c r="H10">
        <v>0</v>
      </c>
      <c r="I10">
        <v>0</v>
      </c>
      <c r="J10">
        <v>0</v>
      </c>
      <c r="K10" t="s">
        <v>20</v>
      </c>
      <c r="L10">
        <v>0</v>
      </c>
      <c r="M10">
        <v>5000001</v>
      </c>
      <c r="N10">
        <v>0</v>
      </c>
      <c r="O10">
        <v>0</v>
      </c>
      <c r="P10">
        <v>188</v>
      </c>
      <c r="Q10" t="str">
        <f t="shared" si="0"/>
        <v>23a91a0431@aect.dummy.in</v>
      </c>
      <c r="V10">
        <f ca="1">_xlfn.XLOOKUP(V10, A2:A673,L2:L673,"Not Found",0)</f>
        <v>0</v>
      </c>
    </row>
    <row r="11" spans="1:22" ht="14.4" x14ac:dyDescent="0.3">
      <c r="A11" t="s">
        <v>30</v>
      </c>
      <c r="B11" t="s">
        <v>18</v>
      </c>
      <c r="C11" t="s">
        <v>19</v>
      </c>
      <c r="D11">
        <v>5</v>
      </c>
      <c r="E11">
        <v>0</v>
      </c>
      <c r="F11">
        <v>0</v>
      </c>
      <c r="G11">
        <v>0</v>
      </c>
      <c r="H11">
        <v>0</v>
      </c>
      <c r="I11">
        <v>1</v>
      </c>
      <c r="J11">
        <v>0</v>
      </c>
      <c r="K11" t="s">
        <v>20</v>
      </c>
      <c r="L11">
        <v>198</v>
      </c>
      <c r="M11">
        <v>619067</v>
      </c>
      <c r="N11">
        <v>135</v>
      </c>
      <c r="O11">
        <v>306</v>
      </c>
      <c r="P11">
        <v>515</v>
      </c>
      <c r="Q11" t="str">
        <f t="shared" si="0"/>
        <v>23a91a0436@aect.dummy.in</v>
      </c>
    </row>
    <row r="12" spans="1:22" ht="14.4" x14ac:dyDescent="0.3">
      <c r="A12" t="s">
        <v>31</v>
      </c>
      <c r="B12" t="s">
        <v>18</v>
      </c>
      <c r="C12" t="s">
        <v>19</v>
      </c>
      <c r="D12">
        <v>4</v>
      </c>
      <c r="E12">
        <v>0</v>
      </c>
      <c r="F12">
        <v>0</v>
      </c>
      <c r="G12">
        <v>0</v>
      </c>
      <c r="H12">
        <v>0</v>
      </c>
      <c r="I12">
        <v>1</v>
      </c>
      <c r="J12">
        <v>0</v>
      </c>
      <c r="K12" t="s">
        <v>20</v>
      </c>
      <c r="L12">
        <v>0</v>
      </c>
      <c r="M12">
        <v>5000001</v>
      </c>
      <c r="N12">
        <v>0</v>
      </c>
      <c r="O12">
        <v>0</v>
      </c>
      <c r="P12">
        <v>38</v>
      </c>
      <c r="Q12" t="str">
        <f t="shared" si="0"/>
        <v>23a91a0452@aect.dummy.in</v>
      </c>
    </row>
    <row r="13" spans="1:22" ht="14.4" x14ac:dyDescent="0.3">
      <c r="A13" t="s">
        <v>32</v>
      </c>
      <c r="B13" t="s">
        <v>18</v>
      </c>
      <c r="C13" t="s">
        <v>19</v>
      </c>
      <c r="D13">
        <v>5</v>
      </c>
      <c r="E13">
        <v>0</v>
      </c>
      <c r="F13">
        <v>0</v>
      </c>
      <c r="G13">
        <v>0</v>
      </c>
      <c r="H13">
        <v>0</v>
      </c>
      <c r="I13">
        <v>1</v>
      </c>
      <c r="J13">
        <v>0</v>
      </c>
      <c r="K13" t="s">
        <v>20</v>
      </c>
      <c r="L13">
        <v>0</v>
      </c>
      <c r="M13">
        <v>5000001</v>
      </c>
      <c r="N13">
        <v>0</v>
      </c>
      <c r="O13">
        <v>0</v>
      </c>
      <c r="P13">
        <v>0</v>
      </c>
      <c r="Q13" t="str">
        <f t="shared" si="0"/>
        <v>23a91a0457@aect.dummy.in</v>
      </c>
    </row>
    <row r="14" spans="1:22" ht="14.4" x14ac:dyDescent="0.3">
      <c r="A14" t="s">
        <v>33</v>
      </c>
      <c r="B14" t="s">
        <v>18</v>
      </c>
      <c r="C14" t="s">
        <v>19</v>
      </c>
      <c r="D14">
        <v>5</v>
      </c>
      <c r="E14">
        <v>0</v>
      </c>
      <c r="F14">
        <v>0</v>
      </c>
      <c r="G14">
        <v>2</v>
      </c>
      <c r="H14">
        <v>0</v>
      </c>
      <c r="I14">
        <v>2</v>
      </c>
      <c r="J14">
        <v>0</v>
      </c>
      <c r="K14" t="s">
        <v>20</v>
      </c>
      <c r="L14">
        <v>1</v>
      </c>
      <c r="M14">
        <v>5000001</v>
      </c>
      <c r="N14">
        <v>0</v>
      </c>
      <c r="O14">
        <v>0</v>
      </c>
      <c r="P14">
        <v>144</v>
      </c>
      <c r="Q14" t="str">
        <f t="shared" si="0"/>
        <v>23a91a0459@aect.dummy.in</v>
      </c>
    </row>
    <row r="15" spans="1:22" ht="14.4" x14ac:dyDescent="0.3">
      <c r="A15" t="s">
        <v>34</v>
      </c>
      <c r="B15" t="s">
        <v>18</v>
      </c>
      <c r="C15" t="s">
        <v>19</v>
      </c>
      <c r="D15">
        <v>5</v>
      </c>
      <c r="E15">
        <v>0</v>
      </c>
      <c r="F15">
        <v>0</v>
      </c>
      <c r="G15">
        <v>0</v>
      </c>
      <c r="H15">
        <v>0</v>
      </c>
      <c r="I15">
        <v>1</v>
      </c>
      <c r="J15">
        <v>0</v>
      </c>
      <c r="K15" t="s">
        <v>20</v>
      </c>
      <c r="L15">
        <v>0</v>
      </c>
      <c r="M15">
        <v>5000001</v>
      </c>
      <c r="N15">
        <v>0</v>
      </c>
      <c r="O15">
        <v>0</v>
      </c>
      <c r="P15">
        <v>26</v>
      </c>
      <c r="Q15" t="str">
        <f t="shared" si="0"/>
        <v>23a91a0460@aect.dummy.in</v>
      </c>
    </row>
    <row r="16" spans="1:22" ht="14.4" x14ac:dyDescent="0.3">
      <c r="A16" t="s">
        <v>28</v>
      </c>
      <c r="B16" t="s">
        <v>18</v>
      </c>
      <c r="C16" t="s">
        <v>19</v>
      </c>
      <c r="D16">
        <v>5</v>
      </c>
      <c r="E16">
        <v>0</v>
      </c>
      <c r="F16">
        <v>0</v>
      </c>
      <c r="G16">
        <v>0</v>
      </c>
      <c r="H16">
        <v>0</v>
      </c>
      <c r="I16">
        <v>1</v>
      </c>
      <c r="J16">
        <v>0</v>
      </c>
      <c r="K16" t="s">
        <v>20</v>
      </c>
      <c r="L16">
        <v>0</v>
      </c>
      <c r="M16">
        <v>5000001</v>
      </c>
      <c r="N16">
        <v>0</v>
      </c>
      <c r="O16">
        <v>0</v>
      </c>
      <c r="P16">
        <v>0</v>
      </c>
      <c r="Q16" t="str">
        <f t="shared" si="0"/>
        <v>23a91a0461@aect.dummy.in</v>
      </c>
    </row>
    <row r="17" spans="1:19" ht="14.4" x14ac:dyDescent="0.3">
      <c r="A17" t="s">
        <v>35</v>
      </c>
      <c r="B17" t="s">
        <v>18</v>
      </c>
      <c r="C17" t="s">
        <v>36</v>
      </c>
      <c r="D17">
        <v>5</v>
      </c>
      <c r="E17">
        <v>0</v>
      </c>
      <c r="F17">
        <v>0</v>
      </c>
      <c r="G17">
        <v>0</v>
      </c>
      <c r="H17">
        <v>0</v>
      </c>
      <c r="I17">
        <v>1</v>
      </c>
      <c r="J17">
        <v>0</v>
      </c>
      <c r="K17" t="s">
        <v>20</v>
      </c>
      <c r="L17">
        <v>0</v>
      </c>
      <c r="M17">
        <v>5000001</v>
      </c>
      <c r="N17">
        <v>0</v>
      </c>
      <c r="O17">
        <v>0</v>
      </c>
      <c r="P17">
        <v>0</v>
      </c>
      <c r="Q17" t="str">
        <f t="shared" si="0"/>
        <v>23a91a0462@aect.dummy.in</v>
      </c>
    </row>
    <row r="18" spans="1:19" ht="14.4" x14ac:dyDescent="0.3">
      <c r="A18" t="s">
        <v>37</v>
      </c>
      <c r="B18" t="s">
        <v>18</v>
      </c>
      <c r="C18" t="s">
        <v>36</v>
      </c>
      <c r="D18">
        <v>5</v>
      </c>
      <c r="E18">
        <v>0</v>
      </c>
      <c r="F18">
        <v>0</v>
      </c>
      <c r="G18">
        <v>0</v>
      </c>
      <c r="H18">
        <v>0</v>
      </c>
      <c r="I18">
        <v>1</v>
      </c>
      <c r="J18">
        <v>0</v>
      </c>
      <c r="K18" t="s">
        <v>20</v>
      </c>
      <c r="L18">
        <v>3</v>
      </c>
      <c r="M18">
        <v>5000001</v>
      </c>
      <c r="N18">
        <v>0</v>
      </c>
      <c r="O18">
        <v>0</v>
      </c>
      <c r="P18">
        <v>75</v>
      </c>
      <c r="Q18" t="str">
        <f t="shared" si="0"/>
        <v>23a91a0465@aect.dummy.in</v>
      </c>
    </row>
    <row r="19" spans="1:19" ht="14.4" x14ac:dyDescent="0.3">
      <c r="A19" t="s">
        <v>38</v>
      </c>
      <c r="B19" t="s">
        <v>18</v>
      </c>
      <c r="C19" t="s">
        <v>36</v>
      </c>
      <c r="D19">
        <v>5</v>
      </c>
      <c r="E19">
        <v>0</v>
      </c>
      <c r="F19">
        <v>0</v>
      </c>
      <c r="G19">
        <v>0</v>
      </c>
      <c r="H19">
        <v>0</v>
      </c>
      <c r="I19">
        <v>1</v>
      </c>
      <c r="J19">
        <v>0</v>
      </c>
      <c r="K19" t="s">
        <v>20</v>
      </c>
      <c r="L19">
        <v>1</v>
      </c>
      <c r="M19">
        <v>5000001</v>
      </c>
      <c r="N19">
        <v>1</v>
      </c>
      <c r="O19">
        <v>0</v>
      </c>
      <c r="P19">
        <v>2</v>
      </c>
      <c r="Q19" t="str">
        <f t="shared" si="0"/>
        <v>23a91a0470@aect.dummy.in</v>
      </c>
    </row>
    <row r="20" spans="1:19" ht="14.4" x14ac:dyDescent="0.3">
      <c r="A20" t="s">
        <v>39</v>
      </c>
      <c r="B20" t="s">
        <v>18</v>
      </c>
      <c r="C20" t="s">
        <v>36</v>
      </c>
      <c r="D20">
        <v>0</v>
      </c>
      <c r="E20">
        <v>0</v>
      </c>
      <c r="F20">
        <v>0</v>
      </c>
      <c r="G20">
        <v>0</v>
      </c>
      <c r="H20">
        <v>0</v>
      </c>
      <c r="I20">
        <v>0</v>
      </c>
      <c r="J20">
        <v>0</v>
      </c>
      <c r="K20" t="s">
        <v>20</v>
      </c>
      <c r="L20">
        <v>0</v>
      </c>
      <c r="M20">
        <v>5000001</v>
      </c>
      <c r="N20">
        <v>0</v>
      </c>
      <c r="O20">
        <v>0</v>
      </c>
      <c r="P20">
        <v>78</v>
      </c>
      <c r="Q20" t="str">
        <f t="shared" si="0"/>
        <v>23a91a0471@aect.dummy.in</v>
      </c>
    </row>
    <row r="21" spans="1:19" ht="14.4" x14ac:dyDescent="0.3">
      <c r="A21" t="s">
        <v>40</v>
      </c>
      <c r="B21" t="s">
        <v>18</v>
      </c>
      <c r="C21" t="s">
        <v>36</v>
      </c>
      <c r="D21">
        <v>4</v>
      </c>
      <c r="E21">
        <v>0</v>
      </c>
      <c r="F21">
        <v>0</v>
      </c>
      <c r="G21">
        <v>2</v>
      </c>
      <c r="H21">
        <v>0</v>
      </c>
      <c r="I21">
        <v>2</v>
      </c>
      <c r="J21">
        <v>0</v>
      </c>
      <c r="K21" t="s">
        <v>20</v>
      </c>
      <c r="L21">
        <v>2</v>
      </c>
      <c r="M21">
        <v>5000001</v>
      </c>
      <c r="N21">
        <v>10</v>
      </c>
      <c r="O21">
        <v>17</v>
      </c>
      <c r="P21">
        <v>682</v>
      </c>
      <c r="Q21" t="str">
        <f t="shared" si="0"/>
        <v>23a91a0476@aect.dummy.in</v>
      </c>
    </row>
    <row r="22" spans="1:19" ht="14.4" x14ac:dyDescent="0.3">
      <c r="A22" t="s">
        <v>41</v>
      </c>
      <c r="B22" t="s">
        <v>18</v>
      </c>
      <c r="C22" t="s">
        <v>36</v>
      </c>
      <c r="D22">
        <v>0</v>
      </c>
      <c r="E22">
        <v>0</v>
      </c>
      <c r="F22">
        <v>0</v>
      </c>
      <c r="G22">
        <v>0</v>
      </c>
      <c r="H22">
        <v>0</v>
      </c>
      <c r="I22">
        <v>0</v>
      </c>
      <c r="J22">
        <v>0</v>
      </c>
      <c r="K22" t="s">
        <v>20</v>
      </c>
      <c r="L22">
        <v>0</v>
      </c>
      <c r="M22">
        <v>5000001</v>
      </c>
      <c r="N22">
        <v>0</v>
      </c>
      <c r="O22">
        <v>0</v>
      </c>
      <c r="P22">
        <v>173</v>
      </c>
      <c r="Q22" t="str">
        <f t="shared" si="0"/>
        <v>23a91a0483@aect.dummy.in</v>
      </c>
    </row>
    <row r="23" spans="1:19" ht="14.4" x14ac:dyDescent="0.3">
      <c r="A23" t="s">
        <v>42</v>
      </c>
      <c r="B23" t="s">
        <v>18</v>
      </c>
      <c r="C23" t="s">
        <v>36</v>
      </c>
      <c r="D23">
        <v>0</v>
      </c>
      <c r="E23">
        <v>0</v>
      </c>
      <c r="F23">
        <v>0</v>
      </c>
      <c r="G23">
        <v>3</v>
      </c>
      <c r="H23">
        <v>1</v>
      </c>
      <c r="I23">
        <v>2</v>
      </c>
      <c r="J23">
        <v>0</v>
      </c>
      <c r="K23" t="s">
        <v>20</v>
      </c>
      <c r="L23">
        <v>24</v>
      </c>
      <c r="M23">
        <v>3007218</v>
      </c>
      <c r="N23">
        <v>13</v>
      </c>
      <c r="O23">
        <v>20</v>
      </c>
      <c r="P23">
        <v>929</v>
      </c>
      <c r="Q23" t="str">
        <f t="shared" si="0"/>
        <v>23a91a0485@aect.dummy.in</v>
      </c>
    </row>
    <row r="24" spans="1:19" ht="14.4" x14ac:dyDescent="0.3">
      <c r="A24" t="s">
        <v>43</v>
      </c>
      <c r="B24" t="s">
        <v>18</v>
      </c>
      <c r="C24" t="s">
        <v>36</v>
      </c>
      <c r="D24">
        <v>5</v>
      </c>
      <c r="E24">
        <v>0</v>
      </c>
      <c r="F24">
        <v>0</v>
      </c>
      <c r="G24">
        <v>2</v>
      </c>
      <c r="H24">
        <v>0</v>
      </c>
      <c r="I24">
        <v>2</v>
      </c>
      <c r="J24">
        <v>0</v>
      </c>
      <c r="K24" t="s">
        <v>20</v>
      </c>
      <c r="L24">
        <v>0</v>
      </c>
      <c r="M24">
        <v>5000001</v>
      </c>
      <c r="N24">
        <v>0</v>
      </c>
      <c r="O24">
        <v>0</v>
      </c>
      <c r="P24">
        <v>55</v>
      </c>
      <c r="Q24" t="str">
        <f t="shared" si="0"/>
        <v>23a91a0486@aect.dummy.in</v>
      </c>
    </row>
    <row r="25" spans="1:19" ht="14.4" x14ac:dyDescent="0.3">
      <c r="A25" t="s">
        <v>44</v>
      </c>
      <c r="B25" t="s">
        <v>18</v>
      </c>
      <c r="C25" t="s">
        <v>36</v>
      </c>
      <c r="D25">
        <v>5</v>
      </c>
      <c r="E25">
        <v>0</v>
      </c>
      <c r="F25">
        <v>0</v>
      </c>
      <c r="G25">
        <v>1</v>
      </c>
      <c r="H25">
        <v>0</v>
      </c>
      <c r="I25">
        <v>2</v>
      </c>
      <c r="J25">
        <v>0</v>
      </c>
      <c r="K25" t="s">
        <v>20</v>
      </c>
      <c r="L25">
        <v>0</v>
      </c>
      <c r="M25">
        <v>5000001</v>
      </c>
      <c r="N25">
        <v>17</v>
      </c>
      <c r="O25">
        <v>28</v>
      </c>
      <c r="P25">
        <v>34</v>
      </c>
      <c r="Q25" t="str">
        <f t="shared" si="0"/>
        <v>23a91a0489@aect.dummy.in</v>
      </c>
      <c r="R25" t="s">
        <v>45</v>
      </c>
      <c r="S25" t="s">
        <v>33</v>
      </c>
    </row>
    <row r="26" spans="1:19" ht="14.4" x14ac:dyDescent="0.3">
      <c r="A26" t="s">
        <v>46</v>
      </c>
      <c r="B26" t="s">
        <v>18</v>
      </c>
      <c r="C26" t="s">
        <v>36</v>
      </c>
      <c r="D26">
        <v>5</v>
      </c>
      <c r="E26">
        <v>0</v>
      </c>
      <c r="F26">
        <v>0</v>
      </c>
      <c r="G26">
        <v>0</v>
      </c>
      <c r="H26">
        <v>0</v>
      </c>
      <c r="I26">
        <v>1</v>
      </c>
      <c r="J26">
        <v>0</v>
      </c>
      <c r="K26" t="s">
        <v>20</v>
      </c>
      <c r="L26">
        <v>0</v>
      </c>
      <c r="M26">
        <v>5000001</v>
      </c>
      <c r="N26">
        <v>0</v>
      </c>
      <c r="O26">
        <v>0</v>
      </c>
      <c r="P26">
        <v>121</v>
      </c>
      <c r="Q26" t="str">
        <f t="shared" si="0"/>
        <v>23a91a0492@aect.dummy.in</v>
      </c>
      <c r="R26" t="s">
        <v>47</v>
      </c>
    </row>
    <row r="27" spans="1:19" ht="14.4" x14ac:dyDescent="0.3">
      <c r="A27" t="s">
        <v>48</v>
      </c>
      <c r="B27" t="s">
        <v>18</v>
      </c>
      <c r="C27" t="s">
        <v>36</v>
      </c>
      <c r="D27">
        <v>5</v>
      </c>
      <c r="E27">
        <v>0</v>
      </c>
      <c r="F27">
        <v>0</v>
      </c>
      <c r="G27">
        <v>0</v>
      </c>
      <c r="H27">
        <v>0</v>
      </c>
      <c r="I27">
        <v>1</v>
      </c>
      <c r="J27">
        <v>0</v>
      </c>
      <c r="K27" t="s">
        <v>20</v>
      </c>
      <c r="L27">
        <v>0</v>
      </c>
      <c r="M27">
        <v>5000001</v>
      </c>
      <c r="N27">
        <v>0</v>
      </c>
      <c r="O27">
        <v>0</v>
      </c>
      <c r="P27">
        <v>0</v>
      </c>
      <c r="Q27" t="str">
        <f t="shared" si="0"/>
        <v>23a91a04a0@aect.dummy.in</v>
      </c>
      <c r="R27" t="s">
        <v>49</v>
      </c>
      <c r="S27">
        <f>_xlfn.XLOOKUP(S25, StudentData[Student ID], StudentData[CC Problem Count], "Not found")</f>
        <v>144</v>
      </c>
    </row>
    <row r="28" spans="1:19" ht="14.4" x14ac:dyDescent="0.3">
      <c r="A28" t="s">
        <v>50</v>
      </c>
      <c r="B28" t="s">
        <v>18</v>
      </c>
      <c r="C28" t="s">
        <v>36</v>
      </c>
      <c r="D28">
        <v>4</v>
      </c>
      <c r="E28">
        <v>0</v>
      </c>
      <c r="F28">
        <v>0</v>
      </c>
      <c r="G28">
        <v>1</v>
      </c>
      <c r="H28">
        <v>0</v>
      </c>
      <c r="I28">
        <v>2</v>
      </c>
      <c r="J28">
        <v>0</v>
      </c>
      <c r="K28" t="s">
        <v>20</v>
      </c>
      <c r="L28">
        <v>1</v>
      </c>
      <c r="M28">
        <v>5000001</v>
      </c>
      <c r="N28">
        <v>15</v>
      </c>
      <c r="O28">
        <v>15</v>
      </c>
      <c r="P28">
        <v>662</v>
      </c>
      <c r="Q28" t="str">
        <f t="shared" si="0"/>
        <v>23a91a04a3@aect.dummy.in</v>
      </c>
      <c r="R28" t="s">
        <v>51</v>
      </c>
    </row>
    <row r="29" spans="1:19" ht="14.4" x14ac:dyDescent="0.3">
      <c r="A29" t="s">
        <v>52</v>
      </c>
      <c r="B29" t="s">
        <v>18</v>
      </c>
      <c r="C29" t="s">
        <v>36</v>
      </c>
      <c r="D29">
        <v>5</v>
      </c>
      <c r="E29">
        <v>0</v>
      </c>
      <c r="F29">
        <v>0</v>
      </c>
      <c r="G29">
        <v>0</v>
      </c>
      <c r="H29">
        <v>0</v>
      </c>
      <c r="I29">
        <v>1</v>
      </c>
      <c r="J29">
        <v>0</v>
      </c>
      <c r="K29" t="s">
        <v>20</v>
      </c>
      <c r="L29">
        <v>0</v>
      </c>
      <c r="M29">
        <v>5000001</v>
      </c>
      <c r="N29">
        <v>0</v>
      </c>
      <c r="O29">
        <v>0</v>
      </c>
      <c r="P29">
        <v>0</v>
      </c>
      <c r="Q29" t="str">
        <f t="shared" si="0"/>
        <v>23a91a04d6@aect.dummy.in</v>
      </c>
    </row>
    <row r="30" spans="1:19" ht="14.4" x14ac:dyDescent="0.3">
      <c r="A30" t="s">
        <v>53</v>
      </c>
      <c r="B30" t="s">
        <v>18</v>
      </c>
      <c r="C30" t="s">
        <v>36</v>
      </c>
      <c r="D30">
        <v>5</v>
      </c>
      <c r="E30">
        <v>0</v>
      </c>
      <c r="F30">
        <v>0</v>
      </c>
      <c r="G30">
        <v>0</v>
      </c>
      <c r="H30">
        <v>0</v>
      </c>
      <c r="I30">
        <v>1</v>
      </c>
      <c r="J30">
        <v>0</v>
      </c>
      <c r="K30" t="s">
        <v>20</v>
      </c>
      <c r="L30">
        <v>0</v>
      </c>
      <c r="M30">
        <v>5000001</v>
      </c>
      <c r="N30">
        <v>0</v>
      </c>
      <c r="O30">
        <v>0</v>
      </c>
      <c r="P30">
        <v>0</v>
      </c>
      <c r="Q30" t="str">
        <f t="shared" si="0"/>
        <v>23a91a04d7@aect.dummy.in</v>
      </c>
    </row>
    <row r="31" spans="1:19" ht="14.4" x14ac:dyDescent="0.3">
      <c r="A31" t="s">
        <v>54</v>
      </c>
      <c r="B31" t="s">
        <v>18</v>
      </c>
      <c r="C31" t="s">
        <v>36</v>
      </c>
      <c r="D31">
        <v>5</v>
      </c>
      <c r="E31">
        <v>0</v>
      </c>
      <c r="F31">
        <v>0</v>
      </c>
      <c r="G31">
        <v>0</v>
      </c>
      <c r="H31">
        <v>0</v>
      </c>
      <c r="I31">
        <v>1</v>
      </c>
      <c r="J31">
        <v>0</v>
      </c>
      <c r="K31" t="s">
        <v>20</v>
      </c>
      <c r="L31">
        <v>0</v>
      </c>
      <c r="M31">
        <v>5000001</v>
      </c>
      <c r="N31">
        <v>0</v>
      </c>
      <c r="O31">
        <v>0</v>
      </c>
      <c r="P31">
        <v>0</v>
      </c>
      <c r="Q31" t="str">
        <f t="shared" si="0"/>
        <v>23a91a04f0@aect.dummy.in</v>
      </c>
    </row>
    <row r="32" spans="1:19" ht="14.4" x14ac:dyDescent="0.3">
      <c r="A32" t="s">
        <v>55</v>
      </c>
      <c r="B32" t="s">
        <v>18</v>
      </c>
      <c r="C32" t="s">
        <v>36</v>
      </c>
      <c r="D32">
        <v>5</v>
      </c>
      <c r="E32">
        <v>0</v>
      </c>
      <c r="F32">
        <v>0</v>
      </c>
      <c r="G32">
        <v>3</v>
      </c>
      <c r="H32">
        <v>0</v>
      </c>
      <c r="I32">
        <v>2</v>
      </c>
      <c r="J32">
        <v>0</v>
      </c>
      <c r="K32" t="s">
        <v>20</v>
      </c>
      <c r="L32">
        <v>11</v>
      </c>
      <c r="M32">
        <v>4666138</v>
      </c>
      <c r="N32">
        <v>4</v>
      </c>
      <c r="O32">
        <v>7</v>
      </c>
      <c r="P32">
        <v>254</v>
      </c>
      <c r="Q32" t="str">
        <f t="shared" si="0"/>
        <v>23a91a04g1@aect.dummy.in</v>
      </c>
    </row>
    <row r="33" spans="1:17" ht="14.4" x14ac:dyDescent="0.3">
      <c r="A33" t="s">
        <v>56</v>
      </c>
      <c r="B33" t="s">
        <v>18</v>
      </c>
      <c r="C33" t="s">
        <v>36</v>
      </c>
      <c r="D33">
        <v>5</v>
      </c>
      <c r="E33">
        <v>0</v>
      </c>
      <c r="F33">
        <v>0</v>
      </c>
      <c r="G33">
        <v>0</v>
      </c>
      <c r="H33">
        <v>0</v>
      </c>
      <c r="I33">
        <v>1</v>
      </c>
      <c r="J33">
        <v>0</v>
      </c>
      <c r="K33" t="s">
        <v>20</v>
      </c>
      <c r="L33">
        <v>11</v>
      </c>
      <c r="M33">
        <v>4325798</v>
      </c>
      <c r="N33">
        <v>1</v>
      </c>
      <c r="O33">
        <v>2</v>
      </c>
      <c r="P33">
        <v>262</v>
      </c>
      <c r="Q33" t="str">
        <f t="shared" si="0"/>
        <v>23a91a04h2@aect.dummy.in</v>
      </c>
    </row>
    <row r="34" spans="1:17" ht="14.4" x14ac:dyDescent="0.3">
      <c r="A34" t="s">
        <v>57</v>
      </c>
      <c r="B34" t="s">
        <v>18</v>
      </c>
      <c r="C34" t="s">
        <v>36</v>
      </c>
      <c r="D34">
        <v>0</v>
      </c>
      <c r="E34">
        <v>0</v>
      </c>
      <c r="F34">
        <v>0</v>
      </c>
      <c r="G34">
        <v>0</v>
      </c>
      <c r="H34">
        <v>0</v>
      </c>
      <c r="I34">
        <v>0</v>
      </c>
      <c r="J34">
        <v>0</v>
      </c>
      <c r="K34" t="s">
        <v>20</v>
      </c>
      <c r="L34">
        <v>0</v>
      </c>
      <c r="M34">
        <v>5000001</v>
      </c>
      <c r="N34">
        <v>0</v>
      </c>
      <c r="O34">
        <v>0</v>
      </c>
      <c r="P34">
        <v>0</v>
      </c>
      <c r="Q34" t="str">
        <f t="shared" ref="Q34:Q56" si="1">LOWER(A34) &amp;"@aect.dummy.in"</f>
        <v>23a91a04i1@aect.dummy.in</v>
      </c>
    </row>
    <row r="35" spans="1:17" ht="14.4" x14ac:dyDescent="0.3">
      <c r="A35" t="s">
        <v>58</v>
      </c>
      <c r="B35" t="s">
        <v>18</v>
      </c>
      <c r="C35" t="s">
        <v>36</v>
      </c>
      <c r="D35">
        <v>5</v>
      </c>
      <c r="E35">
        <v>0</v>
      </c>
      <c r="F35">
        <v>0</v>
      </c>
      <c r="G35">
        <v>0</v>
      </c>
      <c r="H35">
        <v>0</v>
      </c>
      <c r="I35">
        <v>1</v>
      </c>
      <c r="J35">
        <v>0</v>
      </c>
      <c r="K35" t="s">
        <v>20</v>
      </c>
      <c r="L35">
        <v>0</v>
      </c>
      <c r="M35">
        <v>5000001</v>
      </c>
      <c r="N35">
        <v>0</v>
      </c>
      <c r="O35">
        <v>0</v>
      </c>
      <c r="P35">
        <v>0</v>
      </c>
      <c r="Q35" t="str">
        <f t="shared" si="1"/>
        <v>23a91a04i6@aect.dummy.in</v>
      </c>
    </row>
    <row r="36" spans="1:17" ht="14.4" x14ac:dyDescent="0.3">
      <c r="A36" t="s">
        <v>59</v>
      </c>
      <c r="B36" t="s">
        <v>18</v>
      </c>
      <c r="C36" t="s">
        <v>36</v>
      </c>
      <c r="D36">
        <v>5</v>
      </c>
      <c r="E36">
        <v>0</v>
      </c>
      <c r="F36">
        <v>0</v>
      </c>
      <c r="G36">
        <v>0</v>
      </c>
      <c r="H36">
        <v>0</v>
      </c>
      <c r="I36">
        <v>1</v>
      </c>
      <c r="J36">
        <v>0</v>
      </c>
      <c r="K36" t="s">
        <v>20</v>
      </c>
      <c r="L36">
        <v>0</v>
      </c>
      <c r="M36">
        <v>5000001</v>
      </c>
      <c r="N36">
        <v>0</v>
      </c>
      <c r="O36">
        <v>0</v>
      </c>
      <c r="P36">
        <v>0</v>
      </c>
      <c r="Q36" t="str">
        <f t="shared" si="1"/>
        <v>23a91a04j9@aect.dummy.in</v>
      </c>
    </row>
    <row r="37" spans="1:17" ht="14.4" x14ac:dyDescent="0.3">
      <c r="A37" t="s">
        <v>60</v>
      </c>
      <c r="B37" t="s">
        <v>18</v>
      </c>
      <c r="C37" t="s">
        <v>36</v>
      </c>
      <c r="D37">
        <v>5</v>
      </c>
      <c r="E37">
        <v>0</v>
      </c>
      <c r="F37">
        <v>0</v>
      </c>
      <c r="G37">
        <v>3</v>
      </c>
      <c r="H37">
        <v>0</v>
      </c>
      <c r="I37">
        <v>2</v>
      </c>
      <c r="J37">
        <v>0</v>
      </c>
      <c r="K37" t="s">
        <v>20</v>
      </c>
      <c r="L37">
        <v>24</v>
      </c>
      <c r="M37">
        <v>3010862</v>
      </c>
      <c r="N37">
        <v>0</v>
      </c>
      <c r="O37">
        <v>0</v>
      </c>
      <c r="P37">
        <v>61</v>
      </c>
      <c r="Q37" t="str">
        <f t="shared" si="1"/>
        <v>23a91a04m1@aect.dummy.in</v>
      </c>
    </row>
    <row r="38" spans="1:17" ht="14.4" x14ac:dyDescent="0.3">
      <c r="A38" t="s">
        <v>61</v>
      </c>
      <c r="B38" t="s">
        <v>18</v>
      </c>
      <c r="C38" t="s">
        <v>36</v>
      </c>
      <c r="D38">
        <v>5</v>
      </c>
      <c r="E38">
        <v>0</v>
      </c>
      <c r="F38">
        <v>2</v>
      </c>
      <c r="G38">
        <v>2</v>
      </c>
      <c r="H38">
        <v>0</v>
      </c>
      <c r="I38">
        <v>3</v>
      </c>
      <c r="J38">
        <v>0</v>
      </c>
      <c r="K38" t="s">
        <v>20</v>
      </c>
      <c r="L38">
        <v>7</v>
      </c>
      <c r="M38">
        <v>5000001</v>
      </c>
      <c r="N38">
        <v>0</v>
      </c>
      <c r="O38">
        <v>0</v>
      </c>
      <c r="P38">
        <v>60</v>
      </c>
      <c r="Q38" t="str">
        <f t="shared" si="1"/>
        <v>23a91a04n3@aect.dummy.in</v>
      </c>
    </row>
    <row r="39" spans="1:17" ht="14.4" x14ac:dyDescent="0.3">
      <c r="A39" t="s">
        <v>62</v>
      </c>
      <c r="B39" t="s">
        <v>18</v>
      </c>
      <c r="C39" t="s">
        <v>36</v>
      </c>
      <c r="D39">
        <v>5</v>
      </c>
      <c r="E39">
        <v>0</v>
      </c>
      <c r="F39">
        <v>0</v>
      </c>
      <c r="G39">
        <v>0</v>
      </c>
      <c r="H39">
        <v>0</v>
      </c>
      <c r="I39">
        <v>1</v>
      </c>
      <c r="J39">
        <v>0</v>
      </c>
      <c r="K39" t="s">
        <v>20</v>
      </c>
      <c r="L39">
        <v>0</v>
      </c>
      <c r="M39">
        <v>5000001</v>
      </c>
      <c r="N39">
        <v>0</v>
      </c>
      <c r="O39">
        <v>0</v>
      </c>
      <c r="P39">
        <v>0</v>
      </c>
      <c r="Q39" t="str">
        <f t="shared" si="1"/>
        <v>23a91a04o3@aect.dummy.in</v>
      </c>
    </row>
    <row r="40" spans="1:17" ht="14.4" x14ac:dyDescent="0.3">
      <c r="A40" t="s">
        <v>63</v>
      </c>
      <c r="B40" t="s">
        <v>18</v>
      </c>
      <c r="C40" t="s">
        <v>36</v>
      </c>
      <c r="D40">
        <v>0</v>
      </c>
      <c r="E40">
        <v>0</v>
      </c>
      <c r="F40">
        <v>0</v>
      </c>
      <c r="G40">
        <v>0</v>
      </c>
      <c r="H40">
        <v>0</v>
      </c>
      <c r="I40">
        <v>0</v>
      </c>
      <c r="J40">
        <v>0</v>
      </c>
      <c r="K40" t="s">
        <v>20</v>
      </c>
      <c r="L40">
        <v>0</v>
      </c>
      <c r="M40">
        <v>5000001</v>
      </c>
      <c r="N40">
        <v>0</v>
      </c>
      <c r="O40">
        <v>0</v>
      </c>
      <c r="P40">
        <v>0</v>
      </c>
      <c r="Q40" t="str">
        <f t="shared" si="1"/>
        <v>23a91a04p5@aect.dummy.in</v>
      </c>
    </row>
    <row r="41" spans="1:17" ht="14.4" x14ac:dyDescent="0.3">
      <c r="A41" t="s">
        <v>64</v>
      </c>
      <c r="B41" t="s">
        <v>18</v>
      </c>
      <c r="C41" t="s">
        <v>36</v>
      </c>
      <c r="D41">
        <v>4</v>
      </c>
      <c r="E41">
        <v>0</v>
      </c>
      <c r="F41">
        <v>0</v>
      </c>
      <c r="G41">
        <v>5</v>
      </c>
      <c r="H41">
        <v>1</v>
      </c>
      <c r="I41">
        <v>4</v>
      </c>
      <c r="J41">
        <v>3</v>
      </c>
      <c r="K41" t="s">
        <v>65</v>
      </c>
      <c r="L41">
        <v>169</v>
      </c>
      <c r="M41">
        <v>736091</v>
      </c>
      <c r="N41">
        <v>53</v>
      </c>
      <c r="O41">
        <v>91</v>
      </c>
      <c r="P41">
        <v>93</v>
      </c>
      <c r="Q41" t="str">
        <f t="shared" si="1"/>
        <v>23a91a0501@aect.dummy.in</v>
      </c>
    </row>
    <row r="42" spans="1:17" ht="14.4" x14ac:dyDescent="0.3">
      <c r="A42" t="s">
        <v>66</v>
      </c>
      <c r="B42" t="s">
        <v>18</v>
      </c>
      <c r="C42" t="s">
        <v>36</v>
      </c>
      <c r="D42">
        <v>3</v>
      </c>
      <c r="E42">
        <v>3</v>
      </c>
      <c r="F42">
        <v>1</v>
      </c>
      <c r="G42">
        <v>1</v>
      </c>
      <c r="H42">
        <v>3</v>
      </c>
      <c r="I42">
        <v>6</v>
      </c>
      <c r="J42">
        <v>2</v>
      </c>
      <c r="K42" t="s">
        <v>67</v>
      </c>
      <c r="L42">
        <v>304</v>
      </c>
      <c r="M42">
        <v>351689</v>
      </c>
      <c r="N42">
        <v>179</v>
      </c>
      <c r="O42">
        <v>441</v>
      </c>
      <c r="P42">
        <v>0</v>
      </c>
      <c r="Q42" t="str">
        <f t="shared" si="1"/>
        <v>23a91a0502@aect.dummy.in</v>
      </c>
    </row>
    <row r="43" spans="1:17" ht="14.4" x14ac:dyDescent="0.3">
      <c r="A43" t="s">
        <v>68</v>
      </c>
      <c r="B43" t="s">
        <v>18</v>
      </c>
      <c r="C43" t="s">
        <v>36</v>
      </c>
      <c r="D43">
        <v>5</v>
      </c>
      <c r="E43">
        <v>0</v>
      </c>
      <c r="F43">
        <v>0</v>
      </c>
      <c r="G43">
        <v>2</v>
      </c>
      <c r="H43">
        <v>4</v>
      </c>
      <c r="I43">
        <v>4</v>
      </c>
      <c r="J43">
        <v>2</v>
      </c>
      <c r="K43" t="s">
        <v>69</v>
      </c>
      <c r="L43">
        <v>45</v>
      </c>
      <c r="M43">
        <v>2122860</v>
      </c>
      <c r="N43">
        <v>6</v>
      </c>
      <c r="O43">
        <v>12</v>
      </c>
      <c r="P43">
        <v>173</v>
      </c>
      <c r="Q43" t="str">
        <f t="shared" si="1"/>
        <v>23a91a0504@aect.dummy.in</v>
      </c>
    </row>
    <row r="44" spans="1:17" ht="14.4" x14ac:dyDescent="0.3">
      <c r="A44" t="s">
        <v>70</v>
      </c>
      <c r="B44" t="s">
        <v>18</v>
      </c>
      <c r="C44" t="s">
        <v>36</v>
      </c>
      <c r="D44">
        <v>5</v>
      </c>
      <c r="E44">
        <v>0</v>
      </c>
      <c r="F44">
        <v>4</v>
      </c>
      <c r="G44">
        <v>4</v>
      </c>
      <c r="H44">
        <v>3</v>
      </c>
      <c r="I44">
        <v>5</v>
      </c>
      <c r="J44">
        <v>1</v>
      </c>
      <c r="K44" t="s">
        <v>71</v>
      </c>
      <c r="L44">
        <v>7</v>
      </c>
      <c r="M44">
        <v>5000001</v>
      </c>
      <c r="N44">
        <v>34</v>
      </c>
      <c r="O44">
        <v>51</v>
      </c>
      <c r="P44">
        <v>169</v>
      </c>
      <c r="Q44" t="str">
        <f t="shared" si="1"/>
        <v>23a91a0506@aect.dummy.in</v>
      </c>
    </row>
    <row r="45" spans="1:17" ht="14.4" x14ac:dyDescent="0.3">
      <c r="A45" t="s">
        <v>72</v>
      </c>
      <c r="B45" t="s">
        <v>18</v>
      </c>
      <c r="C45" t="s">
        <v>36</v>
      </c>
      <c r="D45">
        <v>3</v>
      </c>
      <c r="E45">
        <v>2</v>
      </c>
      <c r="F45">
        <v>4</v>
      </c>
      <c r="G45">
        <v>4</v>
      </c>
      <c r="H45">
        <v>4</v>
      </c>
      <c r="I45">
        <v>6</v>
      </c>
      <c r="J45">
        <v>1</v>
      </c>
      <c r="K45" t="s">
        <v>71</v>
      </c>
      <c r="L45">
        <v>373</v>
      </c>
      <c r="M45">
        <v>253991</v>
      </c>
      <c r="N45">
        <v>173</v>
      </c>
      <c r="O45">
        <v>423</v>
      </c>
      <c r="P45">
        <v>204</v>
      </c>
      <c r="Q45" t="str">
        <f t="shared" si="1"/>
        <v>23a91a0507@aect.dummy.in</v>
      </c>
    </row>
    <row r="46" spans="1:17" ht="14.4" x14ac:dyDescent="0.3">
      <c r="A46" t="s">
        <v>73</v>
      </c>
      <c r="B46" t="s">
        <v>18</v>
      </c>
      <c r="C46" t="s">
        <v>36</v>
      </c>
      <c r="D46">
        <v>5</v>
      </c>
      <c r="E46">
        <v>0</v>
      </c>
      <c r="F46">
        <v>4</v>
      </c>
      <c r="G46">
        <v>4</v>
      </c>
      <c r="H46">
        <v>5</v>
      </c>
      <c r="I46">
        <v>5</v>
      </c>
      <c r="J46">
        <v>1</v>
      </c>
      <c r="K46" t="s">
        <v>71</v>
      </c>
      <c r="L46">
        <v>83</v>
      </c>
      <c r="M46">
        <v>1391806</v>
      </c>
      <c r="N46">
        <v>3</v>
      </c>
      <c r="O46">
        <v>5</v>
      </c>
      <c r="P46">
        <v>355</v>
      </c>
      <c r="Q46" t="str">
        <f t="shared" si="1"/>
        <v>23a91a0509@aect.dummy.in</v>
      </c>
    </row>
    <row r="47" spans="1:17" ht="14.4" x14ac:dyDescent="0.3">
      <c r="A47" t="s">
        <v>74</v>
      </c>
      <c r="B47" t="s">
        <v>18</v>
      </c>
      <c r="C47" t="s">
        <v>36</v>
      </c>
      <c r="D47">
        <v>4</v>
      </c>
      <c r="E47">
        <v>0</v>
      </c>
      <c r="F47">
        <v>2</v>
      </c>
      <c r="G47">
        <v>3</v>
      </c>
      <c r="H47">
        <v>3</v>
      </c>
      <c r="I47">
        <v>5</v>
      </c>
      <c r="J47">
        <v>2</v>
      </c>
      <c r="K47" t="s">
        <v>67</v>
      </c>
      <c r="L47">
        <v>153</v>
      </c>
      <c r="M47">
        <v>816883</v>
      </c>
      <c r="N47">
        <v>48</v>
      </c>
      <c r="O47">
        <v>84</v>
      </c>
      <c r="P47">
        <v>236</v>
      </c>
      <c r="Q47" t="str">
        <f t="shared" si="1"/>
        <v>23a91a0510@aect.dummy.in</v>
      </c>
    </row>
    <row r="48" spans="1:17" ht="14.4" x14ac:dyDescent="0.3">
      <c r="A48" t="s">
        <v>75</v>
      </c>
      <c r="B48" t="s">
        <v>18</v>
      </c>
      <c r="C48" t="s">
        <v>36</v>
      </c>
      <c r="D48">
        <v>5</v>
      </c>
      <c r="E48">
        <v>0</v>
      </c>
      <c r="F48">
        <v>0</v>
      </c>
      <c r="G48">
        <v>5</v>
      </c>
      <c r="H48">
        <v>5</v>
      </c>
      <c r="I48">
        <v>4</v>
      </c>
      <c r="J48">
        <v>3</v>
      </c>
      <c r="K48" t="s">
        <v>76</v>
      </c>
      <c r="L48">
        <v>0</v>
      </c>
      <c r="M48">
        <v>5000001</v>
      </c>
      <c r="N48">
        <v>0</v>
      </c>
      <c r="O48">
        <v>0</v>
      </c>
      <c r="P48">
        <v>0</v>
      </c>
      <c r="Q48" t="str">
        <f t="shared" si="1"/>
        <v>23a91a0512@aect.dummy.in</v>
      </c>
    </row>
    <row r="49" spans="1:17" ht="14.4" x14ac:dyDescent="0.3">
      <c r="A49" t="s">
        <v>77</v>
      </c>
      <c r="B49" t="s">
        <v>18</v>
      </c>
      <c r="C49" t="s">
        <v>36</v>
      </c>
      <c r="D49">
        <v>2</v>
      </c>
      <c r="E49">
        <v>4</v>
      </c>
      <c r="F49">
        <v>0</v>
      </c>
      <c r="G49">
        <v>0</v>
      </c>
      <c r="H49">
        <v>4</v>
      </c>
      <c r="I49">
        <v>4</v>
      </c>
      <c r="J49">
        <v>2</v>
      </c>
      <c r="K49" t="s">
        <v>67</v>
      </c>
      <c r="L49">
        <v>210</v>
      </c>
      <c r="M49">
        <v>576223</v>
      </c>
      <c r="N49">
        <v>56</v>
      </c>
      <c r="O49">
        <v>67</v>
      </c>
      <c r="P49">
        <v>75</v>
      </c>
      <c r="Q49" t="str">
        <f t="shared" si="1"/>
        <v>23a91a0515@aect.dummy.in</v>
      </c>
    </row>
    <row r="50" spans="1:17" ht="14.4" x14ac:dyDescent="0.3">
      <c r="A50" t="s">
        <v>78</v>
      </c>
      <c r="B50" t="s">
        <v>18</v>
      </c>
      <c r="C50" t="s">
        <v>36</v>
      </c>
      <c r="D50">
        <v>4</v>
      </c>
      <c r="E50">
        <v>0</v>
      </c>
      <c r="F50">
        <v>3</v>
      </c>
      <c r="G50">
        <v>0</v>
      </c>
      <c r="H50">
        <v>4</v>
      </c>
      <c r="I50">
        <v>4</v>
      </c>
      <c r="J50">
        <v>2</v>
      </c>
      <c r="K50" t="s">
        <v>67</v>
      </c>
      <c r="L50">
        <v>102</v>
      </c>
      <c r="M50">
        <v>1186403</v>
      </c>
      <c r="N50">
        <v>4</v>
      </c>
      <c r="O50">
        <v>6</v>
      </c>
      <c r="P50">
        <v>428</v>
      </c>
      <c r="Q50" t="str">
        <f t="shared" si="1"/>
        <v>23a91a0517@aect.dummy.in</v>
      </c>
    </row>
    <row r="51" spans="1:17" ht="14.4" x14ac:dyDescent="0.3">
      <c r="A51" t="s">
        <v>79</v>
      </c>
      <c r="B51" t="s">
        <v>18</v>
      </c>
      <c r="C51" t="s">
        <v>36</v>
      </c>
      <c r="D51">
        <v>3</v>
      </c>
      <c r="E51">
        <v>2</v>
      </c>
      <c r="F51">
        <v>1</v>
      </c>
      <c r="G51">
        <v>3</v>
      </c>
      <c r="H51">
        <v>4</v>
      </c>
      <c r="I51">
        <v>6</v>
      </c>
      <c r="J51">
        <v>2</v>
      </c>
      <c r="K51" t="s">
        <v>67</v>
      </c>
      <c r="L51">
        <v>158</v>
      </c>
      <c r="M51">
        <v>789920</v>
      </c>
      <c r="N51">
        <v>97</v>
      </c>
      <c r="O51">
        <v>195</v>
      </c>
      <c r="P51">
        <v>193</v>
      </c>
      <c r="Q51" t="str">
        <f t="shared" si="1"/>
        <v>23a91a0519@aect.dummy.in</v>
      </c>
    </row>
    <row r="52" spans="1:17" ht="14.4" x14ac:dyDescent="0.3">
      <c r="A52" t="s">
        <v>80</v>
      </c>
      <c r="B52" t="s">
        <v>18</v>
      </c>
      <c r="C52" t="s">
        <v>36</v>
      </c>
      <c r="D52">
        <v>4</v>
      </c>
      <c r="E52">
        <v>0</v>
      </c>
      <c r="F52">
        <v>2</v>
      </c>
      <c r="G52">
        <v>2</v>
      </c>
      <c r="H52">
        <v>3</v>
      </c>
      <c r="I52">
        <v>5</v>
      </c>
      <c r="J52">
        <v>3</v>
      </c>
      <c r="K52" t="s">
        <v>81</v>
      </c>
      <c r="L52">
        <v>64</v>
      </c>
      <c r="M52">
        <v>1678478</v>
      </c>
      <c r="N52">
        <v>11</v>
      </c>
      <c r="O52">
        <v>15</v>
      </c>
      <c r="P52">
        <v>163</v>
      </c>
      <c r="Q52" t="str">
        <f t="shared" si="1"/>
        <v>23a91a0522@aect.dummy.in</v>
      </c>
    </row>
    <row r="53" spans="1:17" ht="14.4" x14ac:dyDescent="0.3">
      <c r="A53" t="s">
        <v>82</v>
      </c>
      <c r="B53" t="s">
        <v>18</v>
      </c>
      <c r="C53" t="s">
        <v>36</v>
      </c>
      <c r="D53">
        <v>3</v>
      </c>
      <c r="E53">
        <v>0</v>
      </c>
      <c r="F53">
        <v>0</v>
      </c>
      <c r="G53">
        <v>4</v>
      </c>
      <c r="H53">
        <v>5</v>
      </c>
      <c r="I53">
        <v>4</v>
      </c>
      <c r="J53">
        <v>2</v>
      </c>
      <c r="K53" t="s">
        <v>67</v>
      </c>
      <c r="L53">
        <v>99</v>
      </c>
      <c r="M53">
        <v>1217917</v>
      </c>
      <c r="N53">
        <v>2</v>
      </c>
      <c r="O53">
        <v>3</v>
      </c>
      <c r="P53">
        <v>117</v>
      </c>
      <c r="Q53" t="str">
        <f t="shared" si="1"/>
        <v>23a91a0524@aect.dummy.in</v>
      </c>
    </row>
    <row r="54" spans="1:17" ht="14.4" x14ac:dyDescent="0.3">
      <c r="A54" t="s">
        <v>83</v>
      </c>
      <c r="B54" t="s">
        <v>18</v>
      </c>
      <c r="C54" t="s">
        <v>36</v>
      </c>
      <c r="D54">
        <v>4</v>
      </c>
      <c r="E54">
        <v>3</v>
      </c>
      <c r="F54">
        <v>2</v>
      </c>
      <c r="G54">
        <v>3</v>
      </c>
      <c r="H54">
        <v>5</v>
      </c>
      <c r="I54">
        <v>6</v>
      </c>
      <c r="J54">
        <v>2</v>
      </c>
      <c r="K54" t="s">
        <v>67</v>
      </c>
      <c r="L54">
        <v>114</v>
      </c>
      <c r="M54">
        <v>1078126</v>
      </c>
      <c r="N54">
        <v>65</v>
      </c>
      <c r="O54">
        <v>113</v>
      </c>
      <c r="P54">
        <v>404</v>
      </c>
      <c r="Q54" t="str">
        <f t="shared" si="1"/>
        <v>23a91a0525@aect.dummy.in</v>
      </c>
    </row>
    <row r="55" spans="1:17" ht="14.4" x14ac:dyDescent="0.3">
      <c r="A55" t="s">
        <v>84</v>
      </c>
      <c r="B55" t="s">
        <v>18</v>
      </c>
      <c r="C55" t="s">
        <v>36</v>
      </c>
      <c r="D55">
        <v>5</v>
      </c>
      <c r="E55">
        <v>0</v>
      </c>
      <c r="F55">
        <v>0</v>
      </c>
      <c r="G55">
        <v>2</v>
      </c>
      <c r="H55">
        <v>4</v>
      </c>
      <c r="I55">
        <v>4</v>
      </c>
      <c r="J55">
        <v>2</v>
      </c>
      <c r="K55" t="s">
        <v>67</v>
      </c>
      <c r="L55">
        <v>81</v>
      </c>
      <c r="M55">
        <v>1417140</v>
      </c>
      <c r="N55">
        <v>0</v>
      </c>
      <c r="O55">
        <v>0</v>
      </c>
      <c r="P55">
        <v>18</v>
      </c>
      <c r="Q55" t="str">
        <f t="shared" si="1"/>
        <v>23a91a0526@aect.dummy.in</v>
      </c>
    </row>
    <row r="56" spans="1:17" ht="14.4" x14ac:dyDescent="0.3">
      <c r="A56" t="s">
        <v>85</v>
      </c>
      <c r="B56" t="s">
        <v>18</v>
      </c>
      <c r="C56" t="s">
        <v>36</v>
      </c>
      <c r="D56">
        <v>4</v>
      </c>
      <c r="E56">
        <v>4</v>
      </c>
      <c r="F56">
        <v>1</v>
      </c>
      <c r="G56">
        <v>3</v>
      </c>
      <c r="H56">
        <v>4</v>
      </c>
      <c r="I56">
        <v>6</v>
      </c>
      <c r="J56">
        <v>2</v>
      </c>
      <c r="K56" t="s">
        <v>67</v>
      </c>
      <c r="L56">
        <v>161</v>
      </c>
      <c r="M56">
        <v>774594</v>
      </c>
      <c r="N56">
        <v>0</v>
      </c>
      <c r="O56">
        <v>0</v>
      </c>
      <c r="P56">
        <v>48</v>
      </c>
      <c r="Q56" t="str">
        <f t="shared" si="1"/>
        <v>23a91a0529@aect.dummy.in</v>
      </c>
    </row>
    <row r="57" spans="1:17" ht="14.4" x14ac:dyDescent="0.3">
      <c r="A57" t="s">
        <v>86</v>
      </c>
      <c r="B57" t="s">
        <v>18</v>
      </c>
      <c r="C57" t="s">
        <v>36</v>
      </c>
      <c r="D57">
        <v>5</v>
      </c>
      <c r="E57">
        <v>0</v>
      </c>
      <c r="F57">
        <v>0</v>
      </c>
      <c r="G57">
        <v>5</v>
      </c>
      <c r="H57">
        <v>0</v>
      </c>
      <c r="I57">
        <v>3</v>
      </c>
      <c r="J57">
        <v>3</v>
      </c>
      <c r="K57" t="s">
        <v>87</v>
      </c>
      <c r="L57">
        <v>1</v>
      </c>
      <c r="M57">
        <v>5000001</v>
      </c>
      <c r="N57">
        <v>0</v>
      </c>
      <c r="O57">
        <v>0</v>
      </c>
      <c r="P57">
        <v>813</v>
      </c>
      <c r="Q57" t="str">
        <f>LOWER(A57) &amp;"@aec.edu.in"</f>
        <v>23a91a0532@aec.edu.in</v>
      </c>
    </row>
    <row r="58" spans="1:17" ht="14.4" x14ac:dyDescent="0.3">
      <c r="A58" t="s">
        <v>88</v>
      </c>
      <c r="B58" t="s">
        <v>18</v>
      </c>
      <c r="C58" t="s">
        <v>36</v>
      </c>
      <c r="D58">
        <v>3</v>
      </c>
      <c r="E58">
        <v>1</v>
      </c>
      <c r="F58">
        <v>1</v>
      </c>
      <c r="G58">
        <v>1</v>
      </c>
      <c r="H58">
        <v>4</v>
      </c>
      <c r="I58">
        <v>6</v>
      </c>
      <c r="J58">
        <v>2</v>
      </c>
      <c r="K58" t="s">
        <v>67</v>
      </c>
      <c r="L58">
        <v>211</v>
      </c>
      <c r="M58">
        <v>572846</v>
      </c>
      <c r="N58">
        <v>86</v>
      </c>
      <c r="O58">
        <v>153</v>
      </c>
      <c r="P58">
        <v>82</v>
      </c>
      <c r="Q58" t="str">
        <f t="shared" ref="Q58:Q121" si="2">LOWER(A58) &amp;"@aect.dummy.in"</f>
        <v>23a91a0534@aect.dummy.in</v>
      </c>
    </row>
    <row r="59" spans="1:17" ht="14.4" x14ac:dyDescent="0.3">
      <c r="A59" t="s">
        <v>89</v>
      </c>
      <c r="B59" t="s">
        <v>18</v>
      </c>
      <c r="C59" t="s">
        <v>36</v>
      </c>
      <c r="D59">
        <v>4</v>
      </c>
      <c r="E59">
        <v>0</v>
      </c>
      <c r="F59">
        <v>2</v>
      </c>
      <c r="G59">
        <v>2</v>
      </c>
      <c r="H59">
        <v>5</v>
      </c>
      <c r="I59">
        <v>5</v>
      </c>
      <c r="J59">
        <v>1</v>
      </c>
      <c r="K59" t="s">
        <v>90</v>
      </c>
      <c r="L59">
        <v>172</v>
      </c>
      <c r="M59">
        <v>722402</v>
      </c>
      <c r="N59">
        <v>4</v>
      </c>
      <c r="O59">
        <v>8</v>
      </c>
      <c r="P59">
        <v>299</v>
      </c>
      <c r="Q59" t="str">
        <f t="shared" si="2"/>
        <v>23a91a0536@aect.dummy.in</v>
      </c>
    </row>
    <row r="60" spans="1:17" ht="14.4" x14ac:dyDescent="0.3">
      <c r="A60" t="s">
        <v>91</v>
      </c>
      <c r="B60" t="s">
        <v>18</v>
      </c>
      <c r="C60" t="s">
        <v>36</v>
      </c>
      <c r="D60">
        <v>4</v>
      </c>
      <c r="E60">
        <v>0</v>
      </c>
      <c r="F60">
        <v>2</v>
      </c>
      <c r="G60">
        <v>3</v>
      </c>
      <c r="H60">
        <v>4</v>
      </c>
      <c r="I60">
        <v>5</v>
      </c>
      <c r="J60">
        <v>0</v>
      </c>
      <c r="K60" t="s">
        <v>20</v>
      </c>
      <c r="L60">
        <v>149</v>
      </c>
      <c r="M60">
        <v>840702</v>
      </c>
      <c r="N60">
        <v>15</v>
      </c>
      <c r="O60">
        <v>31</v>
      </c>
      <c r="P60">
        <v>207</v>
      </c>
      <c r="Q60" t="str">
        <f t="shared" si="2"/>
        <v>23a91a0539@aect.dummy.in</v>
      </c>
    </row>
    <row r="61" spans="1:17" ht="14.4" x14ac:dyDescent="0.3">
      <c r="A61" t="s">
        <v>92</v>
      </c>
      <c r="B61" t="s">
        <v>18</v>
      </c>
      <c r="C61" t="s">
        <v>36</v>
      </c>
      <c r="D61">
        <v>3</v>
      </c>
      <c r="E61">
        <v>0</v>
      </c>
      <c r="F61">
        <v>0</v>
      </c>
      <c r="G61">
        <v>0</v>
      </c>
      <c r="H61">
        <v>3</v>
      </c>
      <c r="I61">
        <v>2</v>
      </c>
      <c r="J61">
        <v>2</v>
      </c>
      <c r="K61" t="s">
        <v>67</v>
      </c>
      <c r="L61">
        <v>231</v>
      </c>
      <c r="M61">
        <v>511734</v>
      </c>
      <c r="N61">
        <v>38</v>
      </c>
      <c r="O61">
        <v>96</v>
      </c>
      <c r="P61">
        <v>73</v>
      </c>
      <c r="Q61" t="str">
        <f t="shared" si="2"/>
        <v>23a91a0545@aect.dummy.in</v>
      </c>
    </row>
    <row r="62" spans="1:17" ht="14.4" x14ac:dyDescent="0.3">
      <c r="A62" t="s">
        <v>93</v>
      </c>
      <c r="B62" t="s">
        <v>18</v>
      </c>
      <c r="C62" t="s">
        <v>36</v>
      </c>
      <c r="D62">
        <v>5</v>
      </c>
      <c r="E62">
        <v>0</v>
      </c>
      <c r="F62">
        <v>5</v>
      </c>
      <c r="G62">
        <v>5</v>
      </c>
      <c r="H62">
        <v>5</v>
      </c>
      <c r="I62">
        <v>5</v>
      </c>
      <c r="J62">
        <v>1</v>
      </c>
      <c r="K62" t="s">
        <v>71</v>
      </c>
      <c r="L62">
        <v>26</v>
      </c>
      <c r="M62">
        <v>2881500</v>
      </c>
      <c r="N62">
        <v>0</v>
      </c>
      <c r="O62">
        <v>0</v>
      </c>
      <c r="P62">
        <v>411</v>
      </c>
      <c r="Q62" t="str">
        <f t="shared" si="2"/>
        <v>23a91a0546@aect.dummy.in</v>
      </c>
    </row>
    <row r="63" spans="1:17" ht="14.4" x14ac:dyDescent="0.3">
      <c r="A63" t="s">
        <v>94</v>
      </c>
      <c r="B63" t="s">
        <v>18</v>
      </c>
      <c r="C63" t="s">
        <v>36</v>
      </c>
      <c r="D63">
        <v>5</v>
      </c>
      <c r="E63">
        <v>0</v>
      </c>
      <c r="F63">
        <v>0</v>
      </c>
      <c r="G63">
        <v>1</v>
      </c>
      <c r="H63">
        <v>5</v>
      </c>
      <c r="I63">
        <v>4</v>
      </c>
      <c r="J63">
        <v>1</v>
      </c>
      <c r="K63" t="s">
        <v>71</v>
      </c>
      <c r="L63">
        <v>0</v>
      </c>
      <c r="M63">
        <v>5000001</v>
      </c>
      <c r="N63">
        <v>26</v>
      </c>
      <c r="O63">
        <v>100</v>
      </c>
      <c r="P63">
        <v>43</v>
      </c>
      <c r="Q63" t="str">
        <f t="shared" si="2"/>
        <v>23a91a0549@aect.dummy.in</v>
      </c>
    </row>
    <row r="64" spans="1:17" ht="14.4" x14ac:dyDescent="0.3">
      <c r="A64" t="s">
        <v>95</v>
      </c>
      <c r="B64" t="s">
        <v>18</v>
      </c>
      <c r="C64" t="s">
        <v>36</v>
      </c>
      <c r="D64">
        <v>3</v>
      </c>
      <c r="E64">
        <v>2</v>
      </c>
      <c r="F64">
        <v>0</v>
      </c>
      <c r="G64">
        <v>2</v>
      </c>
      <c r="H64">
        <v>2</v>
      </c>
      <c r="I64">
        <v>5</v>
      </c>
      <c r="J64">
        <v>1</v>
      </c>
      <c r="K64" t="s">
        <v>71</v>
      </c>
      <c r="L64">
        <v>100</v>
      </c>
      <c r="M64">
        <v>1207804</v>
      </c>
      <c r="N64">
        <v>6</v>
      </c>
      <c r="O64">
        <v>9</v>
      </c>
      <c r="P64">
        <v>202</v>
      </c>
      <c r="Q64" t="str">
        <f t="shared" si="2"/>
        <v>23a91a0554@aect.dummy.in</v>
      </c>
    </row>
    <row r="65" spans="1:17" ht="14.4" x14ac:dyDescent="0.3">
      <c r="A65" t="s">
        <v>96</v>
      </c>
      <c r="B65" t="s">
        <v>18</v>
      </c>
      <c r="C65" t="s">
        <v>36</v>
      </c>
      <c r="D65">
        <v>4</v>
      </c>
      <c r="E65">
        <v>0</v>
      </c>
      <c r="F65">
        <v>1</v>
      </c>
      <c r="G65">
        <v>3</v>
      </c>
      <c r="H65">
        <v>5</v>
      </c>
      <c r="I65">
        <v>5</v>
      </c>
      <c r="J65">
        <v>2</v>
      </c>
      <c r="K65" t="s">
        <v>67</v>
      </c>
      <c r="L65">
        <v>181</v>
      </c>
      <c r="M65">
        <v>683671</v>
      </c>
      <c r="N65">
        <v>106</v>
      </c>
      <c r="O65">
        <v>222</v>
      </c>
      <c r="P65">
        <v>0</v>
      </c>
      <c r="Q65" t="str">
        <f t="shared" si="2"/>
        <v>23a91a0556@aect.dummy.in</v>
      </c>
    </row>
    <row r="66" spans="1:17" ht="14.4" x14ac:dyDescent="0.3">
      <c r="A66" t="s">
        <v>97</v>
      </c>
      <c r="B66" t="s">
        <v>18</v>
      </c>
      <c r="C66" t="s">
        <v>36</v>
      </c>
      <c r="D66">
        <v>5</v>
      </c>
      <c r="E66">
        <v>3</v>
      </c>
      <c r="F66">
        <v>4</v>
      </c>
      <c r="G66">
        <v>4</v>
      </c>
      <c r="H66">
        <v>5</v>
      </c>
      <c r="I66">
        <v>6</v>
      </c>
      <c r="J66">
        <v>3</v>
      </c>
      <c r="K66" t="s">
        <v>98</v>
      </c>
      <c r="L66">
        <v>65</v>
      </c>
      <c r="M66">
        <v>1660776</v>
      </c>
      <c r="N66">
        <v>4</v>
      </c>
      <c r="O66">
        <v>10</v>
      </c>
      <c r="P66">
        <v>336</v>
      </c>
      <c r="Q66" t="str">
        <f t="shared" si="2"/>
        <v>23a91a0559@aect.dummy.in</v>
      </c>
    </row>
    <row r="67" spans="1:17" ht="14.4" x14ac:dyDescent="0.3">
      <c r="A67" t="s">
        <v>99</v>
      </c>
      <c r="B67" t="s">
        <v>18</v>
      </c>
      <c r="C67" t="s">
        <v>36</v>
      </c>
      <c r="D67">
        <v>4</v>
      </c>
      <c r="E67">
        <v>0</v>
      </c>
      <c r="F67">
        <v>0</v>
      </c>
      <c r="G67">
        <v>0</v>
      </c>
      <c r="H67">
        <v>3</v>
      </c>
      <c r="I67">
        <v>2</v>
      </c>
      <c r="J67">
        <v>3</v>
      </c>
      <c r="K67" t="s">
        <v>100</v>
      </c>
      <c r="L67">
        <v>372</v>
      </c>
      <c r="M67">
        <v>255203</v>
      </c>
      <c r="N67">
        <v>15</v>
      </c>
      <c r="O67">
        <v>35</v>
      </c>
      <c r="P67">
        <v>164</v>
      </c>
      <c r="Q67" t="str">
        <f t="shared" si="2"/>
        <v>23a91a0560@aect.dummy.in</v>
      </c>
    </row>
    <row r="68" spans="1:17" ht="14.4" x14ac:dyDescent="0.3">
      <c r="A68" t="s">
        <v>101</v>
      </c>
      <c r="B68" t="s">
        <v>18</v>
      </c>
      <c r="C68" t="s">
        <v>36</v>
      </c>
      <c r="D68">
        <v>3</v>
      </c>
      <c r="E68">
        <v>4</v>
      </c>
      <c r="F68">
        <v>3</v>
      </c>
      <c r="G68">
        <v>4</v>
      </c>
      <c r="H68">
        <v>5</v>
      </c>
      <c r="I68">
        <v>5</v>
      </c>
      <c r="J68">
        <v>2</v>
      </c>
      <c r="K68" t="s">
        <v>67</v>
      </c>
      <c r="L68">
        <v>372</v>
      </c>
      <c r="M68">
        <v>255172</v>
      </c>
      <c r="N68">
        <v>8</v>
      </c>
      <c r="O68">
        <v>21</v>
      </c>
      <c r="P68">
        <v>336</v>
      </c>
      <c r="Q68" t="str">
        <f t="shared" si="2"/>
        <v>23a91a0561@aect.dummy.in</v>
      </c>
    </row>
    <row r="69" spans="1:17" ht="14.4" x14ac:dyDescent="0.3">
      <c r="A69" t="s">
        <v>102</v>
      </c>
      <c r="B69" t="s">
        <v>18</v>
      </c>
      <c r="C69" t="s">
        <v>36</v>
      </c>
      <c r="D69">
        <v>4</v>
      </c>
      <c r="E69">
        <v>5</v>
      </c>
      <c r="F69">
        <v>0</v>
      </c>
      <c r="G69">
        <v>4</v>
      </c>
      <c r="H69">
        <v>5</v>
      </c>
      <c r="I69">
        <v>5</v>
      </c>
      <c r="J69">
        <v>4</v>
      </c>
      <c r="K69" t="s">
        <v>103</v>
      </c>
      <c r="L69">
        <v>233</v>
      </c>
      <c r="M69">
        <v>506237</v>
      </c>
      <c r="N69">
        <v>155</v>
      </c>
      <c r="O69">
        <v>360</v>
      </c>
      <c r="P69">
        <v>268</v>
      </c>
      <c r="Q69" t="str">
        <f t="shared" si="2"/>
        <v>23a91a0562@aect.dummy.in</v>
      </c>
    </row>
    <row r="70" spans="1:17" ht="14.4" x14ac:dyDescent="0.3">
      <c r="A70" t="s">
        <v>104</v>
      </c>
      <c r="B70" t="s">
        <v>18</v>
      </c>
      <c r="C70" t="s">
        <v>36</v>
      </c>
      <c r="D70">
        <v>5</v>
      </c>
      <c r="E70">
        <v>0</v>
      </c>
      <c r="F70">
        <v>5</v>
      </c>
      <c r="G70">
        <v>5</v>
      </c>
      <c r="H70">
        <v>5</v>
      </c>
      <c r="I70">
        <v>5</v>
      </c>
      <c r="J70">
        <v>1</v>
      </c>
      <c r="K70" t="s">
        <v>71</v>
      </c>
      <c r="L70">
        <v>261</v>
      </c>
      <c r="M70">
        <v>435881</v>
      </c>
      <c r="N70">
        <v>129</v>
      </c>
      <c r="O70">
        <v>348</v>
      </c>
      <c r="P70">
        <v>406</v>
      </c>
      <c r="Q70" t="str">
        <f t="shared" si="2"/>
        <v>23a91a0565@aect.dummy.in</v>
      </c>
    </row>
    <row r="71" spans="1:17" ht="14.4" x14ac:dyDescent="0.3">
      <c r="A71" t="s">
        <v>105</v>
      </c>
      <c r="B71" t="s">
        <v>18</v>
      </c>
      <c r="C71" t="s">
        <v>36</v>
      </c>
      <c r="D71">
        <v>3</v>
      </c>
      <c r="E71">
        <v>0</v>
      </c>
      <c r="F71">
        <v>0</v>
      </c>
      <c r="G71">
        <v>0</v>
      </c>
      <c r="H71">
        <v>5</v>
      </c>
      <c r="I71">
        <v>2</v>
      </c>
      <c r="J71">
        <v>2</v>
      </c>
      <c r="K71" t="s">
        <v>106</v>
      </c>
      <c r="L71">
        <v>11</v>
      </c>
      <c r="M71">
        <v>4298173</v>
      </c>
      <c r="N71">
        <v>0</v>
      </c>
      <c r="O71">
        <v>0</v>
      </c>
      <c r="P71">
        <v>66</v>
      </c>
      <c r="Q71" t="str">
        <f t="shared" si="2"/>
        <v>23a91a0566@aect.dummy.in</v>
      </c>
    </row>
    <row r="72" spans="1:17" ht="14.4" x14ac:dyDescent="0.3">
      <c r="A72" t="s">
        <v>107</v>
      </c>
      <c r="B72" t="s">
        <v>18</v>
      </c>
      <c r="C72" t="s">
        <v>36</v>
      </c>
      <c r="D72">
        <v>5</v>
      </c>
      <c r="E72">
        <v>0</v>
      </c>
      <c r="F72">
        <v>1</v>
      </c>
      <c r="G72">
        <v>5</v>
      </c>
      <c r="H72">
        <v>0</v>
      </c>
      <c r="I72">
        <v>4</v>
      </c>
      <c r="J72">
        <v>4</v>
      </c>
      <c r="K72" t="s">
        <v>108</v>
      </c>
      <c r="L72">
        <v>28</v>
      </c>
      <c r="M72">
        <v>2780649</v>
      </c>
      <c r="N72">
        <v>5</v>
      </c>
      <c r="O72">
        <v>9</v>
      </c>
      <c r="P72">
        <v>0</v>
      </c>
      <c r="Q72" t="str">
        <f t="shared" si="2"/>
        <v>23a91a0572@aect.dummy.in</v>
      </c>
    </row>
    <row r="73" spans="1:17" ht="14.4" x14ac:dyDescent="0.3">
      <c r="A73" t="s">
        <v>109</v>
      </c>
      <c r="B73" t="s">
        <v>18</v>
      </c>
      <c r="C73" t="s">
        <v>36</v>
      </c>
      <c r="D73">
        <v>4</v>
      </c>
      <c r="E73">
        <v>4</v>
      </c>
      <c r="F73">
        <v>4</v>
      </c>
      <c r="G73">
        <v>4</v>
      </c>
      <c r="H73">
        <v>5</v>
      </c>
      <c r="I73">
        <v>6</v>
      </c>
      <c r="J73">
        <v>1</v>
      </c>
      <c r="K73" t="s">
        <v>71</v>
      </c>
      <c r="L73">
        <v>563</v>
      </c>
      <c r="M73">
        <v>112533</v>
      </c>
      <c r="N73">
        <v>313</v>
      </c>
      <c r="O73">
        <v>938</v>
      </c>
      <c r="P73">
        <v>155</v>
      </c>
      <c r="Q73" t="str">
        <f t="shared" si="2"/>
        <v>23a91a0576@aect.dummy.in</v>
      </c>
    </row>
    <row r="74" spans="1:17" ht="14.4" x14ac:dyDescent="0.3">
      <c r="A74" t="s">
        <v>110</v>
      </c>
      <c r="B74" t="s">
        <v>18</v>
      </c>
      <c r="C74" t="s">
        <v>36</v>
      </c>
      <c r="D74">
        <v>5</v>
      </c>
      <c r="E74">
        <v>0</v>
      </c>
      <c r="F74">
        <v>0</v>
      </c>
      <c r="G74">
        <v>2</v>
      </c>
      <c r="H74">
        <v>4</v>
      </c>
      <c r="I74">
        <v>4</v>
      </c>
      <c r="J74">
        <v>2</v>
      </c>
      <c r="K74" t="s">
        <v>67</v>
      </c>
      <c r="L74">
        <v>91</v>
      </c>
      <c r="M74">
        <v>1298743</v>
      </c>
      <c r="N74">
        <v>7</v>
      </c>
      <c r="O74">
        <v>15</v>
      </c>
      <c r="P74">
        <v>231</v>
      </c>
      <c r="Q74" t="str">
        <f t="shared" si="2"/>
        <v>23a91a0577@aect.dummy.in</v>
      </c>
    </row>
    <row r="75" spans="1:17" ht="14.4" x14ac:dyDescent="0.3">
      <c r="A75" t="s">
        <v>111</v>
      </c>
      <c r="B75" t="s">
        <v>18</v>
      </c>
      <c r="C75" t="s">
        <v>36</v>
      </c>
      <c r="D75">
        <v>5</v>
      </c>
      <c r="E75">
        <v>0</v>
      </c>
      <c r="F75">
        <v>2</v>
      </c>
      <c r="G75">
        <v>3</v>
      </c>
      <c r="H75">
        <v>2</v>
      </c>
      <c r="I75">
        <v>5</v>
      </c>
      <c r="J75">
        <v>2</v>
      </c>
      <c r="K75" t="s">
        <v>106</v>
      </c>
      <c r="L75">
        <v>150</v>
      </c>
      <c r="M75">
        <v>834669</v>
      </c>
      <c r="N75">
        <v>52</v>
      </c>
      <c r="O75">
        <v>77</v>
      </c>
      <c r="P75">
        <v>353</v>
      </c>
      <c r="Q75" t="str">
        <f t="shared" si="2"/>
        <v>23a91a0578@aect.dummy.in</v>
      </c>
    </row>
    <row r="76" spans="1:17" ht="14.4" x14ac:dyDescent="0.3">
      <c r="A76" t="s">
        <v>112</v>
      </c>
      <c r="B76" t="s">
        <v>18</v>
      </c>
      <c r="C76" t="s">
        <v>36</v>
      </c>
      <c r="D76">
        <v>5</v>
      </c>
      <c r="E76">
        <v>0</v>
      </c>
      <c r="F76">
        <v>3</v>
      </c>
      <c r="G76">
        <v>5</v>
      </c>
      <c r="H76">
        <v>5</v>
      </c>
      <c r="I76">
        <v>5</v>
      </c>
      <c r="J76">
        <v>0</v>
      </c>
      <c r="K76" t="s">
        <v>20</v>
      </c>
      <c r="L76">
        <v>26</v>
      </c>
      <c r="M76">
        <v>2891740</v>
      </c>
      <c r="N76">
        <v>104</v>
      </c>
      <c r="O76">
        <v>327</v>
      </c>
      <c r="P76">
        <v>502</v>
      </c>
      <c r="Q76" t="str">
        <f t="shared" si="2"/>
        <v>23a91a0579@aect.dummy.in</v>
      </c>
    </row>
    <row r="77" spans="1:17" ht="14.4" x14ac:dyDescent="0.3">
      <c r="A77" t="s">
        <v>113</v>
      </c>
      <c r="B77" t="s">
        <v>18</v>
      </c>
      <c r="C77" t="s">
        <v>36</v>
      </c>
      <c r="D77">
        <v>4</v>
      </c>
      <c r="E77">
        <v>1</v>
      </c>
      <c r="F77">
        <v>0</v>
      </c>
      <c r="G77">
        <v>1</v>
      </c>
      <c r="H77">
        <v>5</v>
      </c>
      <c r="I77">
        <v>5</v>
      </c>
      <c r="J77">
        <v>1</v>
      </c>
      <c r="K77" t="s">
        <v>71</v>
      </c>
      <c r="L77">
        <v>336</v>
      </c>
      <c r="M77">
        <v>301341</v>
      </c>
      <c r="N77">
        <v>0</v>
      </c>
      <c r="O77">
        <v>0</v>
      </c>
      <c r="P77">
        <v>50</v>
      </c>
      <c r="Q77" t="str">
        <f t="shared" si="2"/>
        <v>23a91a0581@aect.dummy.in</v>
      </c>
    </row>
    <row r="78" spans="1:17" ht="14.4" x14ac:dyDescent="0.3">
      <c r="A78" t="s">
        <v>114</v>
      </c>
      <c r="B78" t="s">
        <v>18</v>
      </c>
      <c r="C78" t="s">
        <v>36</v>
      </c>
      <c r="D78">
        <v>4</v>
      </c>
      <c r="E78">
        <v>0</v>
      </c>
      <c r="F78">
        <v>1</v>
      </c>
      <c r="G78">
        <v>1</v>
      </c>
      <c r="H78">
        <v>3</v>
      </c>
      <c r="I78">
        <v>5</v>
      </c>
      <c r="J78">
        <v>2</v>
      </c>
      <c r="K78" t="s">
        <v>67</v>
      </c>
      <c r="L78">
        <v>252</v>
      </c>
      <c r="M78">
        <v>456997</v>
      </c>
      <c r="N78">
        <v>29</v>
      </c>
      <c r="O78">
        <v>70</v>
      </c>
      <c r="P78">
        <v>68</v>
      </c>
      <c r="Q78" t="str">
        <f t="shared" si="2"/>
        <v>23a91a0582@aect.dummy.in</v>
      </c>
    </row>
    <row r="79" spans="1:17" ht="14.4" x14ac:dyDescent="0.3">
      <c r="A79" t="s">
        <v>115</v>
      </c>
      <c r="B79" t="s">
        <v>18</v>
      </c>
      <c r="C79" t="s">
        <v>36</v>
      </c>
      <c r="D79">
        <v>5</v>
      </c>
      <c r="E79">
        <v>4</v>
      </c>
      <c r="F79">
        <v>1</v>
      </c>
      <c r="G79">
        <v>3</v>
      </c>
      <c r="H79">
        <v>4</v>
      </c>
      <c r="I79">
        <v>6</v>
      </c>
      <c r="J79">
        <v>3</v>
      </c>
      <c r="K79" t="s">
        <v>116</v>
      </c>
      <c r="L79">
        <v>332</v>
      </c>
      <c r="M79">
        <v>307116</v>
      </c>
      <c r="N79">
        <v>210</v>
      </c>
      <c r="O79">
        <v>404</v>
      </c>
      <c r="P79">
        <v>1114</v>
      </c>
      <c r="Q79" t="str">
        <f t="shared" si="2"/>
        <v>23a91a0585@aect.dummy.in</v>
      </c>
    </row>
    <row r="80" spans="1:17" ht="14.4" x14ac:dyDescent="0.3">
      <c r="A80" t="s">
        <v>117</v>
      </c>
      <c r="B80" t="s">
        <v>18</v>
      </c>
      <c r="C80" t="s">
        <v>36</v>
      </c>
      <c r="D80">
        <v>4</v>
      </c>
      <c r="E80">
        <v>0</v>
      </c>
      <c r="F80">
        <v>0</v>
      </c>
      <c r="G80">
        <v>3</v>
      </c>
      <c r="H80">
        <v>4</v>
      </c>
      <c r="I80">
        <v>4</v>
      </c>
      <c r="J80">
        <v>3</v>
      </c>
      <c r="K80" t="s">
        <v>118</v>
      </c>
      <c r="L80">
        <v>133</v>
      </c>
      <c r="M80">
        <v>938128</v>
      </c>
      <c r="N80">
        <v>65</v>
      </c>
      <c r="O80">
        <v>137</v>
      </c>
      <c r="P80">
        <v>319</v>
      </c>
      <c r="Q80" t="str">
        <f t="shared" si="2"/>
        <v>23a91a0594@aect.dummy.in</v>
      </c>
    </row>
    <row r="81" spans="1:17" ht="14.4" x14ac:dyDescent="0.3">
      <c r="A81" t="s">
        <v>119</v>
      </c>
      <c r="B81" t="s">
        <v>18</v>
      </c>
      <c r="C81" t="s">
        <v>36</v>
      </c>
      <c r="D81">
        <v>5</v>
      </c>
      <c r="E81">
        <v>0</v>
      </c>
      <c r="F81">
        <v>3</v>
      </c>
      <c r="G81">
        <v>2</v>
      </c>
      <c r="H81">
        <v>5</v>
      </c>
      <c r="I81">
        <v>5</v>
      </c>
      <c r="J81">
        <v>3</v>
      </c>
      <c r="K81" t="s">
        <v>120</v>
      </c>
      <c r="L81">
        <v>288</v>
      </c>
      <c r="M81">
        <v>383742</v>
      </c>
      <c r="N81">
        <v>126</v>
      </c>
      <c r="O81">
        <v>394</v>
      </c>
      <c r="P81">
        <v>795</v>
      </c>
      <c r="Q81" t="str">
        <f t="shared" si="2"/>
        <v>23a91a0595@aect.dummy.in</v>
      </c>
    </row>
    <row r="82" spans="1:17" ht="14.4" x14ac:dyDescent="0.3">
      <c r="A82" t="s">
        <v>121</v>
      </c>
      <c r="B82" t="s">
        <v>18</v>
      </c>
      <c r="C82" t="s">
        <v>36</v>
      </c>
      <c r="D82">
        <v>5</v>
      </c>
      <c r="E82">
        <v>0</v>
      </c>
      <c r="F82">
        <v>0</v>
      </c>
      <c r="G82">
        <v>0</v>
      </c>
      <c r="H82">
        <v>4</v>
      </c>
      <c r="I82">
        <v>3</v>
      </c>
      <c r="J82">
        <v>2</v>
      </c>
      <c r="K82" t="s">
        <v>67</v>
      </c>
      <c r="L82">
        <v>149</v>
      </c>
      <c r="M82">
        <v>846262</v>
      </c>
      <c r="N82">
        <v>0</v>
      </c>
      <c r="O82">
        <v>0</v>
      </c>
      <c r="P82">
        <v>438</v>
      </c>
      <c r="Q82" t="str">
        <f t="shared" si="2"/>
        <v>23a91a0598@aect.dummy.in</v>
      </c>
    </row>
    <row r="83" spans="1:17" ht="14.4" x14ac:dyDescent="0.3">
      <c r="A83" t="s">
        <v>122</v>
      </c>
      <c r="B83" t="s">
        <v>18</v>
      </c>
      <c r="C83" t="s">
        <v>36</v>
      </c>
      <c r="D83">
        <v>0</v>
      </c>
      <c r="E83">
        <v>0</v>
      </c>
      <c r="F83">
        <v>0</v>
      </c>
      <c r="G83">
        <v>0</v>
      </c>
      <c r="H83">
        <v>0</v>
      </c>
      <c r="I83">
        <v>0</v>
      </c>
      <c r="J83">
        <v>0</v>
      </c>
      <c r="K83" t="s">
        <v>20</v>
      </c>
      <c r="L83">
        <v>31</v>
      </c>
      <c r="M83">
        <v>2624758</v>
      </c>
      <c r="N83">
        <v>1</v>
      </c>
      <c r="O83">
        <v>2</v>
      </c>
      <c r="P83">
        <v>322</v>
      </c>
      <c r="Q83" t="str">
        <f t="shared" si="2"/>
        <v>23a91a05a5@aect.dummy.in</v>
      </c>
    </row>
    <row r="84" spans="1:17" ht="14.4" x14ac:dyDescent="0.3">
      <c r="A84" t="s">
        <v>123</v>
      </c>
      <c r="B84" t="s">
        <v>18</v>
      </c>
      <c r="C84" t="s">
        <v>36</v>
      </c>
      <c r="D84">
        <v>5</v>
      </c>
      <c r="E84">
        <v>2</v>
      </c>
      <c r="F84">
        <v>3</v>
      </c>
      <c r="G84">
        <v>3</v>
      </c>
      <c r="H84">
        <v>5</v>
      </c>
      <c r="I84">
        <v>6</v>
      </c>
      <c r="J84">
        <v>3</v>
      </c>
      <c r="K84" t="s">
        <v>124</v>
      </c>
      <c r="L84">
        <v>251</v>
      </c>
      <c r="M84">
        <v>459517</v>
      </c>
      <c r="N84">
        <v>171</v>
      </c>
      <c r="O84">
        <v>430</v>
      </c>
      <c r="P84">
        <v>684</v>
      </c>
      <c r="Q84" t="str">
        <f t="shared" si="2"/>
        <v>23a91a05a7@aect.dummy.in</v>
      </c>
    </row>
    <row r="85" spans="1:17" ht="14.4" x14ac:dyDescent="0.3">
      <c r="A85" t="s">
        <v>125</v>
      </c>
      <c r="B85" t="s">
        <v>18</v>
      </c>
      <c r="C85" t="s">
        <v>36</v>
      </c>
      <c r="D85">
        <v>5</v>
      </c>
      <c r="E85">
        <v>0</v>
      </c>
      <c r="F85">
        <v>0</v>
      </c>
      <c r="G85">
        <v>2</v>
      </c>
      <c r="H85">
        <v>3</v>
      </c>
      <c r="I85">
        <v>4</v>
      </c>
      <c r="J85">
        <v>2</v>
      </c>
      <c r="K85" t="s">
        <v>67</v>
      </c>
      <c r="L85">
        <v>16</v>
      </c>
      <c r="M85">
        <v>3657810</v>
      </c>
      <c r="N85">
        <v>0</v>
      </c>
      <c r="O85">
        <v>0</v>
      </c>
      <c r="P85">
        <v>8</v>
      </c>
      <c r="Q85" t="str">
        <f t="shared" si="2"/>
        <v>23a91a05b1@aect.dummy.in</v>
      </c>
    </row>
    <row r="86" spans="1:17" ht="14.4" x14ac:dyDescent="0.3">
      <c r="A86" t="s">
        <v>126</v>
      </c>
      <c r="B86" t="s">
        <v>18</v>
      </c>
      <c r="C86" t="s">
        <v>36</v>
      </c>
      <c r="D86">
        <v>2</v>
      </c>
      <c r="E86">
        <v>3</v>
      </c>
      <c r="F86">
        <v>1</v>
      </c>
      <c r="G86">
        <v>1</v>
      </c>
      <c r="H86">
        <v>1</v>
      </c>
      <c r="I86">
        <v>6</v>
      </c>
      <c r="J86">
        <v>1</v>
      </c>
      <c r="K86" t="s">
        <v>71</v>
      </c>
      <c r="L86">
        <v>85</v>
      </c>
      <c r="M86">
        <v>1367222</v>
      </c>
      <c r="N86">
        <v>5</v>
      </c>
      <c r="O86">
        <v>11</v>
      </c>
      <c r="P86">
        <v>56</v>
      </c>
      <c r="Q86" t="str">
        <f t="shared" si="2"/>
        <v>23a91a05b2@aect.dummy.in</v>
      </c>
    </row>
    <row r="87" spans="1:17" ht="14.4" x14ac:dyDescent="0.3">
      <c r="A87" t="s">
        <v>127</v>
      </c>
      <c r="B87" t="s">
        <v>18</v>
      </c>
      <c r="C87" t="s">
        <v>36</v>
      </c>
      <c r="D87">
        <v>4</v>
      </c>
      <c r="E87">
        <v>1</v>
      </c>
      <c r="F87">
        <v>2</v>
      </c>
      <c r="G87">
        <v>2</v>
      </c>
      <c r="H87">
        <v>4</v>
      </c>
      <c r="I87">
        <v>6</v>
      </c>
      <c r="J87">
        <v>2</v>
      </c>
      <c r="K87" t="s">
        <v>67</v>
      </c>
      <c r="L87">
        <v>107</v>
      </c>
      <c r="M87">
        <v>1138564</v>
      </c>
      <c r="N87">
        <v>54</v>
      </c>
      <c r="O87">
        <v>91</v>
      </c>
      <c r="P87">
        <v>369</v>
      </c>
      <c r="Q87" t="str">
        <f t="shared" si="2"/>
        <v>23a91a05b6@aect.dummy.in</v>
      </c>
    </row>
    <row r="88" spans="1:17" ht="14.4" x14ac:dyDescent="0.3">
      <c r="A88" t="s">
        <v>128</v>
      </c>
      <c r="B88" t="s">
        <v>18</v>
      </c>
      <c r="C88" t="s">
        <v>36</v>
      </c>
      <c r="D88">
        <v>5</v>
      </c>
      <c r="E88">
        <v>0</v>
      </c>
      <c r="F88">
        <v>1</v>
      </c>
      <c r="G88">
        <v>1</v>
      </c>
      <c r="H88">
        <v>4</v>
      </c>
      <c r="I88">
        <v>5</v>
      </c>
      <c r="J88">
        <v>0</v>
      </c>
      <c r="K88" t="s">
        <v>20</v>
      </c>
      <c r="L88">
        <v>193</v>
      </c>
      <c r="M88">
        <v>636814</v>
      </c>
      <c r="N88">
        <v>54</v>
      </c>
      <c r="O88">
        <v>85</v>
      </c>
      <c r="P88">
        <v>587</v>
      </c>
      <c r="Q88" t="str">
        <f t="shared" si="2"/>
        <v>23a91a05c0@aect.dummy.in</v>
      </c>
    </row>
    <row r="89" spans="1:17" ht="14.4" x14ac:dyDescent="0.3">
      <c r="A89" t="s">
        <v>129</v>
      </c>
      <c r="B89" t="s">
        <v>18</v>
      </c>
      <c r="C89" t="s">
        <v>36</v>
      </c>
      <c r="D89">
        <v>4</v>
      </c>
      <c r="E89">
        <v>0</v>
      </c>
      <c r="F89">
        <v>0</v>
      </c>
      <c r="G89">
        <v>3</v>
      </c>
      <c r="H89">
        <v>4</v>
      </c>
      <c r="I89">
        <v>4</v>
      </c>
      <c r="J89">
        <v>3</v>
      </c>
      <c r="K89" t="s">
        <v>118</v>
      </c>
      <c r="L89">
        <v>144</v>
      </c>
      <c r="M89">
        <v>869326</v>
      </c>
      <c r="N89">
        <v>84</v>
      </c>
      <c r="O89">
        <v>157</v>
      </c>
      <c r="P89">
        <v>299</v>
      </c>
      <c r="Q89" t="str">
        <f t="shared" si="2"/>
        <v>23a91a05c4@aect.dummy.in</v>
      </c>
    </row>
    <row r="90" spans="1:17" ht="14.4" x14ac:dyDescent="0.3">
      <c r="A90" t="s">
        <v>130</v>
      </c>
      <c r="B90" t="s">
        <v>18</v>
      </c>
      <c r="C90" t="s">
        <v>36</v>
      </c>
      <c r="D90">
        <v>4</v>
      </c>
      <c r="E90">
        <v>3</v>
      </c>
      <c r="F90">
        <v>1</v>
      </c>
      <c r="G90">
        <v>2</v>
      </c>
      <c r="H90">
        <v>4</v>
      </c>
      <c r="I90">
        <v>6</v>
      </c>
      <c r="J90">
        <v>4</v>
      </c>
      <c r="K90" t="s">
        <v>131</v>
      </c>
      <c r="L90">
        <v>455</v>
      </c>
      <c r="M90">
        <v>177288</v>
      </c>
      <c r="N90">
        <v>340</v>
      </c>
      <c r="O90">
        <v>686</v>
      </c>
      <c r="P90">
        <v>317</v>
      </c>
      <c r="Q90" t="str">
        <f t="shared" si="2"/>
        <v>23a91a05c5@aect.dummy.in</v>
      </c>
    </row>
    <row r="91" spans="1:17" ht="14.4" x14ac:dyDescent="0.3">
      <c r="A91" t="s">
        <v>132</v>
      </c>
      <c r="B91" t="s">
        <v>18</v>
      </c>
      <c r="C91" t="s">
        <v>133</v>
      </c>
      <c r="D91">
        <v>4</v>
      </c>
      <c r="E91">
        <v>3</v>
      </c>
      <c r="F91">
        <v>1</v>
      </c>
      <c r="G91">
        <v>1</v>
      </c>
      <c r="H91">
        <v>0</v>
      </c>
      <c r="I91">
        <v>5</v>
      </c>
      <c r="J91">
        <v>1</v>
      </c>
      <c r="K91" t="s">
        <v>71</v>
      </c>
      <c r="L91">
        <v>66</v>
      </c>
      <c r="M91">
        <v>1643001</v>
      </c>
      <c r="N91">
        <v>69</v>
      </c>
      <c r="O91">
        <v>165</v>
      </c>
      <c r="P91">
        <v>669</v>
      </c>
      <c r="Q91" t="str">
        <f t="shared" si="2"/>
        <v>23a91a05d6@aect.dummy.in</v>
      </c>
    </row>
    <row r="92" spans="1:17" ht="14.4" x14ac:dyDescent="0.3">
      <c r="A92" t="s">
        <v>134</v>
      </c>
      <c r="B92" t="s">
        <v>18</v>
      </c>
      <c r="C92" t="s">
        <v>133</v>
      </c>
      <c r="D92">
        <v>5</v>
      </c>
      <c r="E92">
        <v>2</v>
      </c>
      <c r="F92">
        <v>0</v>
      </c>
      <c r="G92">
        <v>0</v>
      </c>
      <c r="H92">
        <v>4</v>
      </c>
      <c r="I92">
        <v>4</v>
      </c>
      <c r="J92">
        <v>1</v>
      </c>
      <c r="K92" t="s">
        <v>71</v>
      </c>
      <c r="L92">
        <v>20</v>
      </c>
      <c r="M92">
        <v>3305800</v>
      </c>
      <c r="N92">
        <v>0</v>
      </c>
      <c r="O92">
        <v>0</v>
      </c>
      <c r="P92">
        <v>218</v>
      </c>
      <c r="Q92" t="str">
        <f t="shared" si="2"/>
        <v>23a91a05d7@aect.dummy.in</v>
      </c>
    </row>
    <row r="93" spans="1:17" ht="14.4" x14ac:dyDescent="0.3">
      <c r="A93" t="s">
        <v>135</v>
      </c>
      <c r="B93" t="s">
        <v>18</v>
      </c>
      <c r="C93" t="s">
        <v>133</v>
      </c>
      <c r="D93">
        <v>4</v>
      </c>
      <c r="E93">
        <v>0</v>
      </c>
      <c r="F93">
        <v>0</v>
      </c>
      <c r="G93">
        <v>3</v>
      </c>
      <c r="H93">
        <v>4</v>
      </c>
      <c r="I93">
        <v>4</v>
      </c>
      <c r="J93">
        <v>1</v>
      </c>
      <c r="K93" t="s">
        <v>71</v>
      </c>
      <c r="L93">
        <v>252</v>
      </c>
      <c r="M93">
        <v>456996</v>
      </c>
      <c r="N93">
        <v>28</v>
      </c>
      <c r="O93">
        <v>78</v>
      </c>
      <c r="P93">
        <v>80</v>
      </c>
      <c r="Q93" t="str">
        <f t="shared" si="2"/>
        <v>23a91a05e1@aect.dummy.in</v>
      </c>
    </row>
    <row r="94" spans="1:17" ht="14.4" x14ac:dyDescent="0.3">
      <c r="A94" t="s">
        <v>136</v>
      </c>
      <c r="B94" t="s">
        <v>18</v>
      </c>
      <c r="C94" t="s">
        <v>133</v>
      </c>
      <c r="D94">
        <v>5</v>
      </c>
      <c r="E94">
        <v>0</v>
      </c>
      <c r="F94">
        <v>1</v>
      </c>
      <c r="G94">
        <v>1</v>
      </c>
      <c r="H94">
        <v>1</v>
      </c>
      <c r="I94">
        <v>5</v>
      </c>
      <c r="J94">
        <v>1</v>
      </c>
      <c r="K94" t="s">
        <v>71</v>
      </c>
      <c r="L94">
        <v>9</v>
      </c>
      <c r="M94">
        <v>4648225</v>
      </c>
      <c r="N94">
        <v>0</v>
      </c>
      <c r="O94">
        <v>0</v>
      </c>
      <c r="P94">
        <v>22</v>
      </c>
      <c r="Q94" t="str">
        <f t="shared" si="2"/>
        <v>23a91a05e4@aect.dummy.in</v>
      </c>
    </row>
    <row r="95" spans="1:17" ht="14.4" x14ac:dyDescent="0.3">
      <c r="A95" t="s">
        <v>137</v>
      </c>
      <c r="B95" t="s">
        <v>18</v>
      </c>
      <c r="C95" t="s">
        <v>133</v>
      </c>
      <c r="D95">
        <v>4</v>
      </c>
      <c r="E95">
        <v>4</v>
      </c>
      <c r="F95">
        <v>3</v>
      </c>
      <c r="G95">
        <v>3</v>
      </c>
      <c r="H95">
        <v>4</v>
      </c>
      <c r="I95">
        <v>6</v>
      </c>
      <c r="J95">
        <v>2</v>
      </c>
      <c r="K95" t="s">
        <v>67</v>
      </c>
      <c r="L95">
        <v>310</v>
      </c>
      <c r="M95">
        <v>341426</v>
      </c>
      <c r="N95">
        <v>105</v>
      </c>
      <c r="O95">
        <v>245</v>
      </c>
      <c r="P95">
        <v>89</v>
      </c>
      <c r="Q95" t="str">
        <f t="shared" si="2"/>
        <v>23a91a05e5@aect.dummy.in</v>
      </c>
    </row>
    <row r="96" spans="1:17" ht="14.4" x14ac:dyDescent="0.3">
      <c r="A96" t="s">
        <v>138</v>
      </c>
      <c r="B96" t="s">
        <v>18</v>
      </c>
      <c r="C96" t="s">
        <v>133</v>
      </c>
      <c r="D96">
        <v>5</v>
      </c>
      <c r="E96">
        <v>0</v>
      </c>
      <c r="F96">
        <v>0</v>
      </c>
      <c r="G96">
        <v>3</v>
      </c>
      <c r="H96">
        <v>0</v>
      </c>
      <c r="I96">
        <v>3</v>
      </c>
      <c r="J96">
        <v>1</v>
      </c>
      <c r="K96" t="s">
        <v>71</v>
      </c>
      <c r="L96">
        <v>1</v>
      </c>
      <c r="M96">
        <v>5000001</v>
      </c>
      <c r="N96">
        <v>0</v>
      </c>
      <c r="O96">
        <v>0</v>
      </c>
      <c r="P96">
        <v>31</v>
      </c>
      <c r="Q96" t="str">
        <f t="shared" si="2"/>
        <v>23a91a05e6@aect.dummy.in</v>
      </c>
    </row>
    <row r="97" spans="1:17" ht="14.4" x14ac:dyDescent="0.3">
      <c r="A97" t="s">
        <v>139</v>
      </c>
      <c r="B97" t="s">
        <v>18</v>
      </c>
      <c r="C97" t="s">
        <v>133</v>
      </c>
      <c r="D97">
        <v>4</v>
      </c>
      <c r="E97">
        <v>0</v>
      </c>
      <c r="F97">
        <v>0</v>
      </c>
      <c r="G97">
        <v>0</v>
      </c>
      <c r="H97">
        <v>4</v>
      </c>
      <c r="I97">
        <v>3</v>
      </c>
      <c r="J97">
        <v>2</v>
      </c>
      <c r="K97" t="s">
        <v>140</v>
      </c>
      <c r="L97">
        <v>176</v>
      </c>
      <c r="M97">
        <v>704638</v>
      </c>
      <c r="N97">
        <v>26</v>
      </c>
      <c r="O97">
        <v>81</v>
      </c>
      <c r="P97">
        <v>133</v>
      </c>
      <c r="Q97" t="str">
        <f t="shared" si="2"/>
        <v>23a91a05f3@aect.dummy.in</v>
      </c>
    </row>
    <row r="98" spans="1:17" ht="14.4" x14ac:dyDescent="0.3">
      <c r="A98" t="s">
        <v>141</v>
      </c>
      <c r="B98" t="s">
        <v>18</v>
      </c>
      <c r="C98" t="s">
        <v>133</v>
      </c>
      <c r="D98">
        <v>4</v>
      </c>
      <c r="E98">
        <v>1</v>
      </c>
      <c r="F98">
        <v>0</v>
      </c>
      <c r="G98">
        <v>3</v>
      </c>
      <c r="H98">
        <v>5</v>
      </c>
      <c r="I98">
        <v>5</v>
      </c>
      <c r="J98">
        <v>1</v>
      </c>
      <c r="K98" t="s">
        <v>71</v>
      </c>
      <c r="L98">
        <v>337</v>
      </c>
      <c r="M98">
        <v>299954</v>
      </c>
      <c r="N98">
        <v>10</v>
      </c>
      <c r="O98">
        <v>23</v>
      </c>
      <c r="P98">
        <v>267</v>
      </c>
      <c r="Q98" t="str">
        <f t="shared" si="2"/>
        <v>23a91a05f4@aect.dummy.in</v>
      </c>
    </row>
    <row r="99" spans="1:17" ht="14.4" x14ac:dyDescent="0.3">
      <c r="A99" t="s">
        <v>142</v>
      </c>
      <c r="B99" t="s">
        <v>18</v>
      </c>
      <c r="C99" t="s">
        <v>143</v>
      </c>
      <c r="D99">
        <v>5</v>
      </c>
      <c r="E99">
        <v>0</v>
      </c>
      <c r="F99">
        <v>0</v>
      </c>
      <c r="G99">
        <v>1</v>
      </c>
      <c r="H99">
        <v>5</v>
      </c>
      <c r="I99">
        <v>4</v>
      </c>
      <c r="J99">
        <v>2</v>
      </c>
      <c r="K99" t="s">
        <v>67</v>
      </c>
      <c r="L99">
        <v>138</v>
      </c>
      <c r="M99">
        <v>905941</v>
      </c>
      <c r="N99">
        <v>119</v>
      </c>
      <c r="O99">
        <v>186</v>
      </c>
      <c r="P99">
        <v>530</v>
      </c>
      <c r="Q99" t="str">
        <f t="shared" si="2"/>
        <v>23a91a05f5@aect.dummy.in</v>
      </c>
    </row>
    <row r="100" spans="1:17" ht="14.4" x14ac:dyDescent="0.3">
      <c r="A100" t="s">
        <v>144</v>
      </c>
      <c r="B100" t="s">
        <v>18</v>
      </c>
      <c r="C100" t="s">
        <v>143</v>
      </c>
      <c r="D100">
        <v>5</v>
      </c>
      <c r="E100">
        <v>0</v>
      </c>
      <c r="F100">
        <v>0</v>
      </c>
      <c r="G100">
        <v>0</v>
      </c>
      <c r="H100">
        <v>5</v>
      </c>
      <c r="I100">
        <v>3</v>
      </c>
      <c r="J100">
        <v>3</v>
      </c>
      <c r="K100" t="s">
        <v>145</v>
      </c>
      <c r="L100">
        <v>23</v>
      </c>
      <c r="M100">
        <v>3065960</v>
      </c>
      <c r="N100">
        <v>0</v>
      </c>
      <c r="O100">
        <v>0</v>
      </c>
      <c r="P100">
        <v>161</v>
      </c>
      <c r="Q100" t="str">
        <f t="shared" si="2"/>
        <v>23a91a05f8@aect.dummy.in</v>
      </c>
    </row>
    <row r="101" spans="1:17" ht="14.4" x14ac:dyDescent="0.3">
      <c r="A101" t="s">
        <v>146</v>
      </c>
      <c r="B101" t="s">
        <v>18</v>
      </c>
      <c r="C101" t="s">
        <v>143</v>
      </c>
      <c r="D101">
        <v>2</v>
      </c>
      <c r="E101">
        <v>0</v>
      </c>
      <c r="F101">
        <v>1</v>
      </c>
      <c r="G101">
        <v>0</v>
      </c>
      <c r="H101">
        <v>0</v>
      </c>
      <c r="I101">
        <v>2</v>
      </c>
      <c r="J101">
        <v>0</v>
      </c>
      <c r="K101" t="s">
        <v>20</v>
      </c>
      <c r="L101">
        <v>7</v>
      </c>
      <c r="M101">
        <v>5000001</v>
      </c>
      <c r="N101">
        <v>6</v>
      </c>
      <c r="O101">
        <v>10</v>
      </c>
      <c r="P101">
        <v>152</v>
      </c>
      <c r="Q101" t="str">
        <f t="shared" si="2"/>
        <v>23a91a05g3@aect.dummy.in</v>
      </c>
    </row>
    <row r="102" spans="1:17" ht="14.4" x14ac:dyDescent="0.3">
      <c r="A102" t="s">
        <v>147</v>
      </c>
      <c r="B102" t="s">
        <v>18</v>
      </c>
      <c r="C102" t="s">
        <v>143</v>
      </c>
      <c r="D102">
        <v>4</v>
      </c>
      <c r="E102">
        <v>0</v>
      </c>
      <c r="F102">
        <v>1</v>
      </c>
      <c r="G102">
        <v>3</v>
      </c>
      <c r="H102">
        <v>0</v>
      </c>
      <c r="I102">
        <v>4</v>
      </c>
      <c r="J102">
        <v>0</v>
      </c>
      <c r="K102" t="s">
        <v>20</v>
      </c>
      <c r="L102">
        <v>0</v>
      </c>
      <c r="M102">
        <v>5000001</v>
      </c>
      <c r="N102">
        <v>1</v>
      </c>
      <c r="O102">
        <v>1</v>
      </c>
      <c r="P102">
        <v>47</v>
      </c>
      <c r="Q102" t="str">
        <f t="shared" si="2"/>
        <v>23a91a05g5@aect.dummy.in</v>
      </c>
    </row>
    <row r="103" spans="1:17" ht="14.4" x14ac:dyDescent="0.3">
      <c r="A103" t="s">
        <v>148</v>
      </c>
      <c r="B103" t="s">
        <v>18</v>
      </c>
      <c r="C103" t="s">
        <v>143</v>
      </c>
      <c r="D103">
        <v>3</v>
      </c>
      <c r="E103">
        <v>0</v>
      </c>
      <c r="F103">
        <v>0</v>
      </c>
      <c r="G103">
        <v>0</v>
      </c>
      <c r="H103">
        <v>0</v>
      </c>
      <c r="I103">
        <v>1</v>
      </c>
      <c r="J103">
        <v>1</v>
      </c>
      <c r="K103" t="s">
        <v>71</v>
      </c>
      <c r="L103">
        <v>0</v>
      </c>
      <c r="M103">
        <v>5000001</v>
      </c>
      <c r="N103">
        <v>0</v>
      </c>
      <c r="O103">
        <v>0</v>
      </c>
      <c r="P103">
        <v>0</v>
      </c>
      <c r="Q103" t="str">
        <f t="shared" si="2"/>
        <v>23a91a05g7@aect.dummy.in</v>
      </c>
    </row>
    <row r="104" spans="1:17" ht="14.4" x14ac:dyDescent="0.3">
      <c r="A104" t="s">
        <v>149</v>
      </c>
      <c r="B104" t="s">
        <v>18</v>
      </c>
      <c r="C104" t="s">
        <v>143</v>
      </c>
      <c r="D104">
        <v>4</v>
      </c>
      <c r="E104">
        <v>3</v>
      </c>
      <c r="F104">
        <v>3</v>
      </c>
      <c r="G104">
        <v>4</v>
      </c>
      <c r="H104">
        <v>5</v>
      </c>
      <c r="I104">
        <v>6</v>
      </c>
      <c r="J104">
        <v>4</v>
      </c>
      <c r="K104" t="s">
        <v>150</v>
      </c>
      <c r="L104">
        <v>290</v>
      </c>
      <c r="M104">
        <v>376441</v>
      </c>
      <c r="N104">
        <v>130</v>
      </c>
      <c r="O104">
        <v>321</v>
      </c>
      <c r="P104">
        <v>289</v>
      </c>
      <c r="Q104" t="str">
        <f t="shared" si="2"/>
        <v>23a91a05g8@aect.dummy.in</v>
      </c>
    </row>
    <row r="105" spans="1:17" ht="14.4" x14ac:dyDescent="0.3">
      <c r="A105" t="s">
        <v>151</v>
      </c>
      <c r="B105" t="s">
        <v>18</v>
      </c>
      <c r="C105" t="s">
        <v>143</v>
      </c>
      <c r="D105">
        <v>4</v>
      </c>
      <c r="E105">
        <v>0</v>
      </c>
      <c r="F105">
        <v>0</v>
      </c>
      <c r="G105">
        <v>5</v>
      </c>
      <c r="H105">
        <v>5</v>
      </c>
      <c r="I105">
        <v>4</v>
      </c>
      <c r="J105">
        <v>1</v>
      </c>
      <c r="K105" t="s">
        <v>71</v>
      </c>
      <c r="L105">
        <v>10</v>
      </c>
      <c r="M105">
        <v>4466436</v>
      </c>
      <c r="N105">
        <v>6</v>
      </c>
      <c r="O105">
        <v>20</v>
      </c>
      <c r="P105">
        <v>7</v>
      </c>
      <c r="Q105" t="str">
        <f t="shared" si="2"/>
        <v>23a91a05g9@aect.dummy.in</v>
      </c>
    </row>
    <row r="106" spans="1:17" ht="14.4" x14ac:dyDescent="0.3">
      <c r="A106" t="s">
        <v>152</v>
      </c>
      <c r="B106" t="s">
        <v>18</v>
      </c>
      <c r="C106" t="s">
        <v>143</v>
      </c>
      <c r="D106">
        <v>5</v>
      </c>
      <c r="E106">
        <v>0</v>
      </c>
      <c r="F106">
        <v>3</v>
      </c>
      <c r="G106">
        <v>3</v>
      </c>
      <c r="H106">
        <v>4</v>
      </c>
      <c r="I106">
        <v>5</v>
      </c>
      <c r="J106">
        <v>2</v>
      </c>
      <c r="K106" t="s">
        <v>67</v>
      </c>
      <c r="L106">
        <v>33</v>
      </c>
      <c r="M106">
        <v>2537614</v>
      </c>
      <c r="N106">
        <v>2</v>
      </c>
      <c r="O106">
        <v>5</v>
      </c>
      <c r="P106">
        <v>259</v>
      </c>
      <c r="Q106" t="str">
        <f t="shared" si="2"/>
        <v>23a91a05h2@aect.dummy.in</v>
      </c>
    </row>
    <row r="107" spans="1:17" ht="14.4" x14ac:dyDescent="0.3">
      <c r="A107" t="s">
        <v>153</v>
      </c>
      <c r="B107" t="s">
        <v>18</v>
      </c>
      <c r="C107" t="s">
        <v>143</v>
      </c>
      <c r="D107">
        <v>3</v>
      </c>
      <c r="E107">
        <v>3</v>
      </c>
      <c r="F107">
        <v>3</v>
      </c>
      <c r="G107">
        <v>3</v>
      </c>
      <c r="H107">
        <v>5</v>
      </c>
      <c r="I107">
        <v>6</v>
      </c>
      <c r="J107">
        <v>2</v>
      </c>
      <c r="K107" t="s">
        <v>67</v>
      </c>
      <c r="L107">
        <v>193</v>
      </c>
      <c r="M107">
        <v>636839</v>
      </c>
      <c r="N107">
        <v>185</v>
      </c>
      <c r="O107">
        <v>337</v>
      </c>
      <c r="P107">
        <v>762</v>
      </c>
      <c r="Q107" t="str">
        <f t="shared" si="2"/>
        <v>23a91a05h8@aect.dummy.in</v>
      </c>
    </row>
    <row r="108" spans="1:17" ht="14.4" x14ac:dyDescent="0.3">
      <c r="A108" t="s">
        <v>154</v>
      </c>
      <c r="B108" t="s">
        <v>18</v>
      </c>
      <c r="C108" t="s">
        <v>143</v>
      </c>
      <c r="D108">
        <v>4</v>
      </c>
      <c r="E108">
        <v>0</v>
      </c>
      <c r="F108">
        <v>3</v>
      </c>
      <c r="G108">
        <v>4</v>
      </c>
      <c r="H108">
        <v>5</v>
      </c>
      <c r="I108">
        <v>5</v>
      </c>
      <c r="J108">
        <v>2</v>
      </c>
      <c r="K108" t="s">
        <v>67</v>
      </c>
      <c r="L108">
        <v>176</v>
      </c>
      <c r="M108">
        <v>704810</v>
      </c>
      <c r="N108">
        <v>115</v>
      </c>
      <c r="O108">
        <v>165</v>
      </c>
      <c r="P108">
        <v>358</v>
      </c>
      <c r="Q108" t="str">
        <f t="shared" si="2"/>
        <v>23a91a05i0@aect.dummy.in</v>
      </c>
    </row>
    <row r="109" spans="1:17" ht="14.4" x14ac:dyDescent="0.3">
      <c r="A109" t="s">
        <v>155</v>
      </c>
      <c r="B109" t="s">
        <v>18</v>
      </c>
      <c r="C109" t="s">
        <v>143</v>
      </c>
      <c r="D109">
        <v>3</v>
      </c>
      <c r="E109">
        <v>0</v>
      </c>
      <c r="F109">
        <v>2</v>
      </c>
      <c r="G109">
        <v>2</v>
      </c>
      <c r="H109">
        <v>4</v>
      </c>
      <c r="I109">
        <v>5</v>
      </c>
      <c r="J109">
        <v>0</v>
      </c>
      <c r="K109" t="s">
        <v>20</v>
      </c>
      <c r="L109">
        <v>113</v>
      </c>
      <c r="M109">
        <v>1086458</v>
      </c>
      <c r="N109">
        <v>45</v>
      </c>
      <c r="O109">
        <v>108</v>
      </c>
      <c r="P109">
        <v>307</v>
      </c>
      <c r="Q109" t="str">
        <f t="shared" si="2"/>
        <v>23a91a05i3@aect.dummy.in</v>
      </c>
    </row>
    <row r="110" spans="1:17" ht="14.4" x14ac:dyDescent="0.3">
      <c r="A110" t="s">
        <v>156</v>
      </c>
      <c r="B110" t="s">
        <v>18</v>
      </c>
      <c r="C110" t="s">
        <v>143</v>
      </c>
      <c r="D110">
        <v>4</v>
      </c>
      <c r="E110">
        <v>3</v>
      </c>
      <c r="F110">
        <v>5</v>
      </c>
      <c r="G110">
        <v>5</v>
      </c>
      <c r="H110">
        <v>5</v>
      </c>
      <c r="I110">
        <v>6</v>
      </c>
      <c r="J110">
        <v>0</v>
      </c>
      <c r="K110" t="s">
        <v>20</v>
      </c>
      <c r="L110">
        <v>278</v>
      </c>
      <c r="M110">
        <v>399330</v>
      </c>
      <c r="N110">
        <v>291</v>
      </c>
      <c r="O110">
        <v>510</v>
      </c>
      <c r="P110">
        <v>464</v>
      </c>
      <c r="Q110" t="str">
        <f t="shared" si="2"/>
        <v>23a91a05i4@aect.dummy.in</v>
      </c>
    </row>
    <row r="111" spans="1:17" ht="14.4" x14ac:dyDescent="0.3">
      <c r="A111" t="s">
        <v>157</v>
      </c>
      <c r="B111" t="s">
        <v>18</v>
      </c>
      <c r="C111" t="s">
        <v>143</v>
      </c>
      <c r="D111">
        <v>4</v>
      </c>
      <c r="E111">
        <v>4</v>
      </c>
      <c r="F111">
        <v>3</v>
      </c>
      <c r="G111">
        <v>3</v>
      </c>
      <c r="H111">
        <v>3</v>
      </c>
      <c r="I111">
        <v>6</v>
      </c>
      <c r="J111">
        <v>2</v>
      </c>
      <c r="K111" t="s">
        <v>67</v>
      </c>
      <c r="L111">
        <v>321</v>
      </c>
      <c r="M111">
        <v>323746</v>
      </c>
      <c r="N111">
        <v>182</v>
      </c>
      <c r="O111">
        <v>513</v>
      </c>
      <c r="P111">
        <v>208</v>
      </c>
      <c r="Q111" t="str">
        <f t="shared" si="2"/>
        <v>23a91a05i6@aect.dummy.in</v>
      </c>
    </row>
    <row r="112" spans="1:17" ht="14.4" x14ac:dyDescent="0.3">
      <c r="A112" t="s">
        <v>158</v>
      </c>
      <c r="B112" t="s">
        <v>18</v>
      </c>
      <c r="C112" t="s">
        <v>143</v>
      </c>
      <c r="D112">
        <v>5</v>
      </c>
      <c r="E112">
        <v>0</v>
      </c>
      <c r="F112">
        <v>3</v>
      </c>
      <c r="G112">
        <v>1</v>
      </c>
      <c r="H112">
        <v>3</v>
      </c>
      <c r="I112">
        <v>5</v>
      </c>
      <c r="J112">
        <v>2</v>
      </c>
      <c r="K112" t="s">
        <v>67</v>
      </c>
      <c r="L112">
        <v>22</v>
      </c>
      <c r="M112">
        <v>3145436</v>
      </c>
      <c r="N112">
        <v>93</v>
      </c>
      <c r="O112">
        <v>325</v>
      </c>
      <c r="P112">
        <v>175</v>
      </c>
      <c r="Q112" t="str">
        <f t="shared" si="2"/>
        <v>23a91a05i8@aect.dummy.in</v>
      </c>
    </row>
    <row r="113" spans="1:17" ht="14.4" x14ac:dyDescent="0.3">
      <c r="A113" t="s">
        <v>159</v>
      </c>
      <c r="B113" t="s">
        <v>18</v>
      </c>
      <c r="C113" t="s">
        <v>143</v>
      </c>
      <c r="D113">
        <v>4</v>
      </c>
      <c r="E113">
        <v>1</v>
      </c>
      <c r="F113">
        <v>1</v>
      </c>
      <c r="G113">
        <v>3</v>
      </c>
      <c r="H113">
        <v>4</v>
      </c>
      <c r="I113">
        <v>6</v>
      </c>
      <c r="J113">
        <v>2</v>
      </c>
      <c r="K113" t="s">
        <v>67</v>
      </c>
      <c r="L113">
        <v>318</v>
      </c>
      <c r="M113">
        <v>328445</v>
      </c>
      <c r="N113">
        <v>54</v>
      </c>
      <c r="O113">
        <v>137</v>
      </c>
      <c r="P113">
        <v>158</v>
      </c>
      <c r="Q113" t="str">
        <f t="shared" si="2"/>
        <v>23a91a05j1@aect.dummy.in</v>
      </c>
    </row>
    <row r="114" spans="1:17" ht="14.4" x14ac:dyDescent="0.3">
      <c r="A114" t="s">
        <v>160</v>
      </c>
      <c r="B114" t="s">
        <v>18</v>
      </c>
      <c r="C114" t="s">
        <v>143</v>
      </c>
      <c r="D114">
        <v>3</v>
      </c>
      <c r="E114">
        <v>0</v>
      </c>
      <c r="F114">
        <v>0</v>
      </c>
      <c r="G114">
        <v>1</v>
      </c>
      <c r="H114">
        <v>4</v>
      </c>
      <c r="I114">
        <v>4</v>
      </c>
      <c r="J114">
        <v>1</v>
      </c>
      <c r="K114" t="s">
        <v>71</v>
      </c>
      <c r="L114">
        <v>273</v>
      </c>
      <c r="M114">
        <v>409624</v>
      </c>
      <c r="N114">
        <v>60</v>
      </c>
      <c r="O114">
        <v>180</v>
      </c>
      <c r="P114">
        <v>43</v>
      </c>
      <c r="Q114" t="str">
        <f t="shared" si="2"/>
        <v>23a91a05j2@aect.dummy.in</v>
      </c>
    </row>
    <row r="115" spans="1:17" ht="14.4" x14ac:dyDescent="0.3">
      <c r="A115" t="s">
        <v>161</v>
      </c>
      <c r="B115" t="s">
        <v>18</v>
      </c>
      <c r="C115" t="s">
        <v>143</v>
      </c>
      <c r="D115">
        <v>3</v>
      </c>
      <c r="E115">
        <v>0</v>
      </c>
      <c r="F115">
        <v>4</v>
      </c>
      <c r="G115">
        <v>4</v>
      </c>
      <c r="H115">
        <v>5</v>
      </c>
      <c r="I115">
        <v>5</v>
      </c>
      <c r="J115">
        <v>2</v>
      </c>
      <c r="K115" t="s">
        <v>67</v>
      </c>
      <c r="L115">
        <v>108</v>
      </c>
      <c r="M115">
        <v>1129902</v>
      </c>
      <c r="N115">
        <v>8</v>
      </c>
      <c r="O115">
        <v>10</v>
      </c>
      <c r="P115">
        <v>204</v>
      </c>
      <c r="Q115" t="str">
        <f t="shared" si="2"/>
        <v>23a91a05j8@aect.dummy.in</v>
      </c>
    </row>
    <row r="116" spans="1:17" ht="14.4" x14ac:dyDescent="0.3">
      <c r="A116" t="s">
        <v>162</v>
      </c>
      <c r="B116" t="s">
        <v>18</v>
      </c>
      <c r="C116" t="s">
        <v>143</v>
      </c>
      <c r="D116">
        <v>4</v>
      </c>
      <c r="E116">
        <v>5</v>
      </c>
      <c r="F116">
        <v>3</v>
      </c>
      <c r="G116">
        <v>4</v>
      </c>
      <c r="H116">
        <v>5</v>
      </c>
      <c r="I116">
        <v>6</v>
      </c>
      <c r="J116">
        <v>1</v>
      </c>
      <c r="K116" t="s">
        <v>71</v>
      </c>
      <c r="L116">
        <v>508</v>
      </c>
      <c r="M116">
        <v>141833</v>
      </c>
      <c r="N116">
        <v>211</v>
      </c>
      <c r="O116">
        <v>651</v>
      </c>
      <c r="P116">
        <v>104</v>
      </c>
      <c r="Q116" t="str">
        <f t="shared" si="2"/>
        <v>23a91a05j9@aect.dummy.in</v>
      </c>
    </row>
    <row r="117" spans="1:17" ht="14.4" x14ac:dyDescent="0.3">
      <c r="A117" t="s">
        <v>163</v>
      </c>
      <c r="B117" t="s">
        <v>18</v>
      </c>
      <c r="C117" t="s">
        <v>143</v>
      </c>
      <c r="D117">
        <v>5</v>
      </c>
      <c r="E117">
        <v>4</v>
      </c>
      <c r="F117">
        <v>4</v>
      </c>
      <c r="G117">
        <v>4</v>
      </c>
      <c r="H117">
        <v>5</v>
      </c>
      <c r="I117">
        <v>6</v>
      </c>
      <c r="J117">
        <v>3</v>
      </c>
      <c r="K117" t="s">
        <v>81</v>
      </c>
      <c r="L117">
        <v>161</v>
      </c>
      <c r="M117">
        <v>774675</v>
      </c>
      <c r="N117">
        <v>35</v>
      </c>
      <c r="O117">
        <v>56</v>
      </c>
      <c r="P117">
        <v>289</v>
      </c>
      <c r="Q117" t="str">
        <f t="shared" si="2"/>
        <v>23a91a05k1@aect.dummy.in</v>
      </c>
    </row>
    <row r="118" spans="1:17" ht="14.4" x14ac:dyDescent="0.3">
      <c r="A118" t="s">
        <v>164</v>
      </c>
      <c r="B118" t="s">
        <v>18</v>
      </c>
      <c r="C118" t="s">
        <v>143</v>
      </c>
      <c r="D118">
        <v>4</v>
      </c>
      <c r="E118">
        <v>0</v>
      </c>
      <c r="F118">
        <v>0</v>
      </c>
      <c r="G118">
        <v>0</v>
      </c>
      <c r="H118">
        <v>1</v>
      </c>
      <c r="I118">
        <v>3</v>
      </c>
      <c r="J118">
        <v>2</v>
      </c>
      <c r="K118" t="s">
        <v>67</v>
      </c>
      <c r="L118">
        <v>197</v>
      </c>
      <c r="M118">
        <v>622401</v>
      </c>
      <c r="N118">
        <v>84</v>
      </c>
      <c r="O118">
        <v>204</v>
      </c>
      <c r="P118">
        <v>157</v>
      </c>
      <c r="Q118" t="str">
        <f t="shared" si="2"/>
        <v>23a91a05k2@aect.dummy.in</v>
      </c>
    </row>
    <row r="119" spans="1:17" ht="14.4" x14ac:dyDescent="0.3">
      <c r="A119" t="s">
        <v>165</v>
      </c>
      <c r="B119" t="s">
        <v>18</v>
      </c>
      <c r="C119" t="s">
        <v>143</v>
      </c>
      <c r="D119">
        <v>4</v>
      </c>
      <c r="E119">
        <v>0</v>
      </c>
      <c r="F119">
        <v>5</v>
      </c>
      <c r="G119">
        <v>0</v>
      </c>
      <c r="H119">
        <v>0</v>
      </c>
      <c r="I119">
        <v>3</v>
      </c>
      <c r="J119">
        <v>0</v>
      </c>
      <c r="K119" t="s">
        <v>20</v>
      </c>
      <c r="L119">
        <v>28</v>
      </c>
      <c r="M119">
        <v>2776153</v>
      </c>
      <c r="N119">
        <v>0</v>
      </c>
      <c r="O119">
        <v>0</v>
      </c>
      <c r="P119">
        <v>32</v>
      </c>
      <c r="Q119" t="str">
        <f t="shared" si="2"/>
        <v>23a91a1205@aect.dummy.in</v>
      </c>
    </row>
    <row r="120" spans="1:17" ht="14.4" x14ac:dyDescent="0.3">
      <c r="A120" t="s">
        <v>166</v>
      </c>
      <c r="B120" t="s">
        <v>18</v>
      </c>
      <c r="C120" t="s">
        <v>143</v>
      </c>
      <c r="D120">
        <v>4</v>
      </c>
      <c r="E120">
        <v>2</v>
      </c>
      <c r="F120">
        <v>1</v>
      </c>
      <c r="G120">
        <v>0</v>
      </c>
      <c r="H120">
        <v>4</v>
      </c>
      <c r="I120">
        <v>5</v>
      </c>
      <c r="J120">
        <v>2</v>
      </c>
      <c r="K120" t="s">
        <v>67</v>
      </c>
      <c r="L120">
        <v>195</v>
      </c>
      <c r="M120">
        <v>629497</v>
      </c>
      <c r="N120">
        <v>92</v>
      </c>
      <c r="O120">
        <v>129</v>
      </c>
      <c r="P120">
        <v>190</v>
      </c>
      <c r="Q120" t="str">
        <f t="shared" si="2"/>
        <v>23a91a1209@aect.dummy.in</v>
      </c>
    </row>
    <row r="121" spans="1:17" ht="14.4" x14ac:dyDescent="0.3">
      <c r="A121" t="s">
        <v>167</v>
      </c>
      <c r="B121" t="s">
        <v>18</v>
      </c>
      <c r="C121" t="s">
        <v>143</v>
      </c>
      <c r="D121">
        <v>5</v>
      </c>
      <c r="E121">
        <v>0</v>
      </c>
      <c r="F121">
        <v>5</v>
      </c>
      <c r="G121">
        <v>1</v>
      </c>
      <c r="H121">
        <v>0</v>
      </c>
      <c r="I121">
        <v>4</v>
      </c>
      <c r="J121">
        <v>0</v>
      </c>
      <c r="K121" t="s">
        <v>20</v>
      </c>
      <c r="L121">
        <v>3</v>
      </c>
      <c r="M121">
        <v>5000001</v>
      </c>
      <c r="N121">
        <v>2</v>
      </c>
      <c r="O121">
        <v>2</v>
      </c>
      <c r="P121">
        <v>162</v>
      </c>
      <c r="Q121" t="str">
        <f t="shared" si="2"/>
        <v>23a91a1211@aect.dummy.in</v>
      </c>
    </row>
    <row r="122" spans="1:17" ht="14.4" x14ac:dyDescent="0.3">
      <c r="A122" t="s">
        <v>168</v>
      </c>
      <c r="B122" t="s">
        <v>18</v>
      </c>
      <c r="C122" t="s">
        <v>143</v>
      </c>
      <c r="D122">
        <v>4</v>
      </c>
      <c r="E122">
        <v>0</v>
      </c>
      <c r="F122">
        <v>5</v>
      </c>
      <c r="G122">
        <v>3</v>
      </c>
      <c r="H122">
        <v>4</v>
      </c>
      <c r="I122">
        <v>5</v>
      </c>
      <c r="J122">
        <v>3</v>
      </c>
      <c r="K122" t="s">
        <v>120</v>
      </c>
      <c r="L122">
        <v>198</v>
      </c>
      <c r="M122">
        <v>619048</v>
      </c>
      <c r="N122">
        <v>60</v>
      </c>
      <c r="O122">
        <v>135</v>
      </c>
      <c r="P122">
        <v>73</v>
      </c>
      <c r="Q122" t="str">
        <f t="shared" ref="Q122:Q185" si="3">LOWER(A122) &amp;"@aect.dummy.in"</f>
        <v>23a91a1214@aect.dummy.in</v>
      </c>
    </row>
    <row r="123" spans="1:17" ht="14.4" x14ac:dyDescent="0.3">
      <c r="A123" t="s">
        <v>169</v>
      </c>
      <c r="B123" t="s">
        <v>18</v>
      </c>
      <c r="C123" t="s">
        <v>143</v>
      </c>
      <c r="D123">
        <v>3</v>
      </c>
      <c r="E123">
        <v>1</v>
      </c>
      <c r="F123">
        <v>0</v>
      </c>
      <c r="G123">
        <v>0</v>
      </c>
      <c r="H123">
        <v>0</v>
      </c>
      <c r="I123">
        <v>2</v>
      </c>
      <c r="J123">
        <v>0</v>
      </c>
      <c r="K123" t="s">
        <v>20</v>
      </c>
      <c r="L123">
        <v>3</v>
      </c>
      <c r="M123">
        <v>5000001</v>
      </c>
      <c r="N123">
        <v>0</v>
      </c>
      <c r="O123">
        <v>0</v>
      </c>
      <c r="P123">
        <v>37</v>
      </c>
      <c r="Q123" t="str">
        <f t="shared" si="3"/>
        <v>23a91a1216@aect.dummy.in</v>
      </c>
    </row>
    <row r="124" spans="1:17" ht="14.4" x14ac:dyDescent="0.3">
      <c r="A124" t="s">
        <v>170</v>
      </c>
      <c r="B124" t="s">
        <v>18</v>
      </c>
      <c r="C124" t="s">
        <v>143</v>
      </c>
      <c r="D124">
        <v>5</v>
      </c>
      <c r="E124">
        <v>0</v>
      </c>
      <c r="F124">
        <v>2</v>
      </c>
      <c r="G124">
        <v>0</v>
      </c>
      <c r="H124">
        <v>1</v>
      </c>
      <c r="I124">
        <v>4</v>
      </c>
      <c r="J124">
        <v>2</v>
      </c>
      <c r="K124" t="s">
        <v>67</v>
      </c>
      <c r="L124">
        <v>188</v>
      </c>
      <c r="M124">
        <v>655628</v>
      </c>
      <c r="N124">
        <v>38</v>
      </c>
      <c r="O124">
        <v>95</v>
      </c>
      <c r="P124">
        <v>96</v>
      </c>
      <c r="Q124" t="str">
        <f t="shared" si="3"/>
        <v>23a91a1220@aect.dummy.in</v>
      </c>
    </row>
    <row r="125" spans="1:17" ht="14.4" x14ac:dyDescent="0.3">
      <c r="A125" t="s">
        <v>171</v>
      </c>
      <c r="B125" t="s">
        <v>18</v>
      </c>
      <c r="C125" t="s">
        <v>143</v>
      </c>
      <c r="D125">
        <v>0</v>
      </c>
      <c r="E125">
        <v>0</v>
      </c>
      <c r="F125">
        <v>5</v>
      </c>
      <c r="G125">
        <v>0</v>
      </c>
      <c r="H125">
        <v>0</v>
      </c>
      <c r="I125">
        <v>2</v>
      </c>
      <c r="J125">
        <v>0</v>
      </c>
      <c r="K125" t="s">
        <v>20</v>
      </c>
      <c r="L125">
        <v>15</v>
      </c>
      <c r="M125">
        <v>3772103</v>
      </c>
      <c r="N125">
        <v>11</v>
      </c>
      <c r="O125">
        <v>40</v>
      </c>
      <c r="P125">
        <v>293</v>
      </c>
      <c r="Q125" t="str">
        <f t="shared" si="3"/>
        <v>23a91a1225@aect.dummy.in</v>
      </c>
    </row>
    <row r="126" spans="1:17" ht="14.4" x14ac:dyDescent="0.3">
      <c r="A126" t="s">
        <v>172</v>
      </c>
      <c r="B126" t="s">
        <v>18</v>
      </c>
      <c r="C126" t="s">
        <v>143</v>
      </c>
      <c r="D126">
        <v>5</v>
      </c>
      <c r="E126">
        <v>0</v>
      </c>
      <c r="F126">
        <v>5</v>
      </c>
      <c r="G126">
        <v>5</v>
      </c>
      <c r="H126">
        <v>4</v>
      </c>
      <c r="I126">
        <v>5</v>
      </c>
      <c r="J126">
        <v>2</v>
      </c>
      <c r="K126" t="s">
        <v>67</v>
      </c>
      <c r="L126">
        <v>72</v>
      </c>
      <c r="M126">
        <v>1545783</v>
      </c>
      <c r="N126">
        <v>29</v>
      </c>
      <c r="O126">
        <v>126</v>
      </c>
      <c r="P126">
        <v>294</v>
      </c>
      <c r="Q126" t="str">
        <f t="shared" si="3"/>
        <v>23a91a1226@aect.dummy.in</v>
      </c>
    </row>
    <row r="127" spans="1:17" ht="14.4" x14ac:dyDescent="0.3">
      <c r="A127" t="s">
        <v>173</v>
      </c>
      <c r="B127" t="s">
        <v>18</v>
      </c>
      <c r="C127" t="s">
        <v>143</v>
      </c>
      <c r="D127">
        <v>4</v>
      </c>
      <c r="E127">
        <v>0</v>
      </c>
      <c r="F127">
        <v>4</v>
      </c>
      <c r="G127">
        <v>3</v>
      </c>
      <c r="H127">
        <v>5</v>
      </c>
      <c r="I127">
        <v>5</v>
      </c>
      <c r="J127">
        <v>2</v>
      </c>
      <c r="K127" t="s">
        <v>67</v>
      </c>
      <c r="L127">
        <v>98</v>
      </c>
      <c r="M127">
        <v>1227258</v>
      </c>
      <c r="N127">
        <v>9</v>
      </c>
      <c r="O127">
        <v>13</v>
      </c>
      <c r="P127">
        <v>998</v>
      </c>
      <c r="Q127" t="str">
        <f t="shared" si="3"/>
        <v>23a91a1228@aect.dummy.in</v>
      </c>
    </row>
    <row r="128" spans="1:17" ht="14.4" x14ac:dyDescent="0.3">
      <c r="A128" t="s">
        <v>174</v>
      </c>
      <c r="B128" t="s">
        <v>18</v>
      </c>
      <c r="C128" t="s">
        <v>143</v>
      </c>
      <c r="D128">
        <v>5</v>
      </c>
      <c r="E128">
        <v>0</v>
      </c>
      <c r="F128">
        <v>0</v>
      </c>
      <c r="G128">
        <v>0</v>
      </c>
      <c r="H128">
        <v>0</v>
      </c>
      <c r="I128">
        <v>1</v>
      </c>
      <c r="J128">
        <v>0</v>
      </c>
      <c r="K128" t="s">
        <v>20</v>
      </c>
      <c r="L128">
        <v>22</v>
      </c>
      <c r="M128">
        <v>3152027</v>
      </c>
      <c r="N128">
        <v>0</v>
      </c>
      <c r="O128">
        <v>0</v>
      </c>
      <c r="P128">
        <v>30</v>
      </c>
      <c r="Q128" t="str">
        <f t="shared" si="3"/>
        <v>23a91a1229@aect.dummy.in</v>
      </c>
    </row>
    <row r="129" spans="1:17" ht="14.4" x14ac:dyDescent="0.3">
      <c r="A129" t="s">
        <v>175</v>
      </c>
      <c r="B129" t="s">
        <v>18</v>
      </c>
      <c r="C129" t="s">
        <v>143</v>
      </c>
      <c r="D129">
        <v>4</v>
      </c>
      <c r="E129">
        <v>0</v>
      </c>
      <c r="F129">
        <v>0</v>
      </c>
      <c r="G129">
        <v>0</v>
      </c>
      <c r="H129">
        <v>2</v>
      </c>
      <c r="I129">
        <v>3</v>
      </c>
      <c r="J129">
        <v>2</v>
      </c>
      <c r="K129" t="s">
        <v>67</v>
      </c>
      <c r="L129">
        <v>253</v>
      </c>
      <c r="M129">
        <v>454568</v>
      </c>
      <c r="N129">
        <v>128</v>
      </c>
      <c r="O129">
        <v>415</v>
      </c>
      <c r="P129">
        <v>350</v>
      </c>
      <c r="Q129" t="str">
        <f t="shared" si="3"/>
        <v>23a91a1231@aect.dummy.in</v>
      </c>
    </row>
    <row r="130" spans="1:17" ht="14.4" x14ac:dyDescent="0.3">
      <c r="A130" t="s">
        <v>176</v>
      </c>
      <c r="B130" t="s">
        <v>18</v>
      </c>
      <c r="C130" t="s">
        <v>143</v>
      </c>
      <c r="D130">
        <v>4</v>
      </c>
      <c r="E130">
        <v>0</v>
      </c>
      <c r="F130">
        <v>1</v>
      </c>
      <c r="G130">
        <v>0</v>
      </c>
      <c r="H130">
        <v>5</v>
      </c>
      <c r="I130">
        <v>4</v>
      </c>
      <c r="J130">
        <v>3</v>
      </c>
      <c r="K130" t="s">
        <v>124</v>
      </c>
      <c r="L130">
        <v>283</v>
      </c>
      <c r="M130">
        <v>389505</v>
      </c>
      <c r="N130">
        <v>157</v>
      </c>
      <c r="O130">
        <v>231</v>
      </c>
      <c r="P130">
        <v>199</v>
      </c>
      <c r="Q130" t="str">
        <f t="shared" si="3"/>
        <v>23a91a1234@aect.dummy.in</v>
      </c>
    </row>
    <row r="131" spans="1:17" ht="14.4" x14ac:dyDescent="0.3">
      <c r="A131" t="s">
        <v>177</v>
      </c>
      <c r="B131" t="s">
        <v>18</v>
      </c>
      <c r="C131" t="s">
        <v>143</v>
      </c>
      <c r="D131">
        <v>3</v>
      </c>
      <c r="E131">
        <v>0</v>
      </c>
      <c r="F131">
        <v>1</v>
      </c>
      <c r="G131">
        <v>0</v>
      </c>
      <c r="H131">
        <v>1</v>
      </c>
      <c r="I131">
        <v>4</v>
      </c>
      <c r="J131">
        <v>1</v>
      </c>
      <c r="K131" t="s">
        <v>71</v>
      </c>
      <c r="L131">
        <v>94</v>
      </c>
      <c r="M131">
        <v>1266678</v>
      </c>
      <c r="N131">
        <v>101</v>
      </c>
      <c r="O131">
        <v>235</v>
      </c>
      <c r="P131">
        <v>192</v>
      </c>
      <c r="Q131" t="str">
        <f t="shared" si="3"/>
        <v>23a91a1235@aect.dummy.in</v>
      </c>
    </row>
    <row r="132" spans="1:17" ht="14.4" x14ac:dyDescent="0.3">
      <c r="A132" t="s">
        <v>178</v>
      </c>
      <c r="B132" t="s">
        <v>18</v>
      </c>
      <c r="C132" t="s">
        <v>143</v>
      </c>
      <c r="D132">
        <v>4</v>
      </c>
      <c r="E132">
        <v>0</v>
      </c>
      <c r="F132">
        <v>3</v>
      </c>
      <c r="G132">
        <v>2</v>
      </c>
      <c r="H132">
        <v>5</v>
      </c>
      <c r="I132">
        <v>5</v>
      </c>
      <c r="J132">
        <v>2</v>
      </c>
      <c r="K132" t="s">
        <v>67</v>
      </c>
      <c r="L132">
        <v>91</v>
      </c>
      <c r="M132">
        <v>1299283</v>
      </c>
      <c r="N132">
        <v>6</v>
      </c>
      <c r="O132">
        <v>8</v>
      </c>
      <c r="P132">
        <v>797</v>
      </c>
      <c r="Q132" t="str">
        <f t="shared" si="3"/>
        <v>23a91a1237@aect.dummy.in</v>
      </c>
    </row>
    <row r="133" spans="1:17" ht="14.4" x14ac:dyDescent="0.3">
      <c r="A133" t="s">
        <v>179</v>
      </c>
      <c r="B133" t="s">
        <v>18</v>
      </c>
      <c r="C133" t="s">
        <v>143</v>
      </c>
      <c r="D133">
        <v>5</v>
      </c>
      <c r="E133">
        <v>0</v>
      </c>
      <c r="F133">
        <v>0</v>
      </c>
      <c r="G133">
        <v>0</v>
      </c>
      <c r="H133">
        <v>0</v>
      </c>
      <c r="I133">
        <v>2</v>
      </c>
      <c r="J133">
        <v>0</v>
      </c>
      <c r="K133" t="s">
        <v>20</v>
      </c>
      <c r="L133">
        <v>0</v>
      </c>
      <c r="M133">
        <v>5000001</v>
      </c>
      <c r="N133">
        <v>0</v>
      </c>
      <c r="O133">
        <v>0</v>
      </c>
      <c r="P133">
        <v>2</v>
      </c>
      <c r="Q133" t="str">
        <f t="shared" si="3"/>
        <v>23a91a1239@aect.dummy.in</v>
      </c>
    </row>
    <row r="134" spans="1:17" ht="14.4" x14ac:dyDescent="0.3">
      <c r="A134" t="s">
        <v>180</v>
      </c>
      <c r="B134" t="s">
        <v>18</v>
      </c>
      <c r="C134" t="s">
        <v>143</v>
      </c>
      <c r="D134">
        <v>3</v>
      </c>
      <c r="E134">
        <v>0</v>
      </c>
      <c r="F134">
        <v>0</v>
      </c>
      <c r="G134">
        <v>0</v>
      </c>
      <c r="H134">
        <v>1</v>
      </c>
      <c r="I134">
        <v>3</v>
      </c>
      <c r="J134">
        <v>2</v>
      </c>
      <c r="K134" t="s">
        <v>67</v>
      </c>
      <c r="L134">
        <v>235</v>
      </c>
      <c r="M134">
        <v>500760</v>
      </c>
      <c r="N134">
        <v>65</v>
      </c>
      <c r="O134">
        <v>154</v>
      </c>
      <c r="P134">
        <v>379</v>
      </c>
      <c r="Q134" t="str">
        <f t="shared" si="3"/>
        <v>23a91a1252@aect.dummy.in</v>
      </c>
    </row>
    <row r="135" spans="1:17" ht="14.4" x14ac:dyDescent="0.3">
      <c r="A135" t="s">
        <v>181</v>
      </c>
      <c r="B135" t="s">
        <v>18</v>
      </c>
      <c r="C135" t="s">
        <v>143</v>
      </c>
      <c r="D135">
        <v>5</v>
      </c>
      <c r="E135">
        <v>0</v>
      </c>
      <c r="F135">
        <v>0</v>
      </c>
      <c r="G135">
        <v>0</v>
      </c>
      <c r="H135">
        <v>0</v>
      </c>
      <c r="I135">
        <v>1</v>
      </c>
      <c r="J135">
        <v>0</v>
      </c>
      <c r="K135" t="s">
        <v>20</v>
      </c>
      <c r="L135">
        <v>4</v>
      </c>
      <c r="M135">
        <v>5000001</v>
      </c>
      <c r="N135">
        <v>0</v>
      </c>
      <c r="O135">
        <v>0</v>
      </c>
      <c r="P135">
        <v>141</v>
      </c>
      <c r="Q135" t="str">
        <f t="shared" si="3"/>
        <v>23a91a1253@aect.dummy.in</v>
      </c>
    </row>
    <row r="136" spans="1:17" ht="14.4" x14ac:dyDescent="0.3">
      <c r="A136" t="s">
        <v>182</v>
      </c>
      <c r="B136" t="s">
        <v>18</v>
      </c>
      <c r="C136" t="s">
        <v>143</v>
      </c>
      <c r="D136">
        <v>5</v>
      </c>
      <c r="E136">
        <v>0</v>
      </c>
      <c r="F136">
        <v>1</v>
      </c>
      <c r="G136">
        <v>1</v>
      </c>
      <c r="H136">
        <v>2</v>
      </c>
      <c r="I136">
        <v>5</v>
      </c>
      <c r="J136">
        <v>2</v>
      </c>
      <c r="K136" t="s">
        <v>67</v>
      </c>
      <c r="L136">
        <v>189</v>
      </c>
      <c r="M136">
        <v>651991</v>
      </c>
      <c r="N136">
        <v>55</v>
      </c>
      <c r="O136">
        <v>122</v>
      </c>
      <c r="P136">
        <v>303</v>
      </c>
      <c r="Q136" t="str">
        <f t="shared" si="3"/>
        <v>23a91a1258@aect.dummy.in</v>
      </c>
    </row>
    <row r="137" spans="1:17" ht="14.4" x14ac:dyDescent="0.3">
      <c r="A137" t="s">
        <v>183</v>
      </c>
      <c r="B137" t="s">
        <v>18</v>
      </c>
      <c r="C137" t="s">
        <v>143</v>
      </c>
      <c r="D137">
        <v>4</v>
      </c>
      <c r="E137">
        <v>4</v>
      </c>
      <c r="F137">
        <v>0</v>
      </c>
      <c r="G137">
        <v>1</v>
      </c>
      <c r="H137">
        <v>1</v>
      </c>
      <c r="I137">
        <v>5</v>
      </c>
      <c r="J137">
        <v>2</v>
      </c>
      <c r="K137" t="s">
        <v>67</v>
      </c>
      <c r="L137">
        <v>235</v>
      </c>
      <c r="M137">
        <v>500604</v>
      </c>
      <c r="N137">
        <v>38</v>
      </c>
      <c r="O137">
        <v>104</v>
      </c>
      <c r="P137">
        <v>67</v>
      </c>
      <c r="Q137" t="str">
        <f t="shared" si="3"/>
        <v>23a91a1267@aect.dummy.in</v>
      </c>
    </row>
    <row r="138" spans="1:17" ht="14.4" x14ac:dyDescent="0.3">
      <c r="A138" t="s">
        <v>184</v>
      </c>
      <c r="B138" t="s">
        <v>18</v>
      </c>
      <c r="C138" t="s">
        <v>143</v>
      </c>
      <c r="D138">
        <v>5</v>
      </c>
      <c r="E138">
        <v>0</v>
      </c>
      <c r="F138">
        <v>0</v>
      </c>
      <c r="G138">
        <v>0</v>
      </c>
      <c r="H138">
        <v>4</v>
      </c>
      <c r="I138">
        <v>2</v>
      </c>
      <c r="J138">
        <v>2</v>
      </c>
      <c r="K138" t="s">
        <v>67</v>
      </c>
      <c r="L138">
        <v>47</v>
      </c>
      <c r="M138">
        <v>2064568</v>
      </c>
      <c r="N138">
        <v>9</v>
      </c>
      <c r="O138">
        <v>9</v>
      </c>
      <c r="P138">
        <v>545</v>
      </c>
      <c r="Q138" t="str">
        <f t="shared" si="3"/>
        <v>23a91a1268@aect.dummy.in</v>
      </c>
    </row>
    <row r="139" spans="1:17" ht="14.4" x14ac:dyDescent="0.3">
      <c r="A139" t="s">
        <v>185</v>
      </c>
      <c r="B139" t="s">
        <v>18</v>
      </c>
      <c r="C139" t="s">
        <v>143</v>
      </c>
      <c r="D139">
        <v>5</v>
      </c>
      <c r="E139">
        <v>1</v>
      </c>
      <c r="F139">
        <v>0</v>
      </c>
      <c r="G139">
        <v>0</v>
      </c>
      <c r="H139">
        <v>2</v>
      </c>
      <c r="I139">
        <v>3</v>
      </c>
      <c r="J139">
        <v>1</v>
      </c>
      <c r="K139" t="s">
        <v>71</v>
      </c>
      <c r="L139">
        <v>83</v>
      </c>
      <c r="M139">
        <v>1392730</v>
      </c>
      <c r="N139">
        <v>59</v>
      </c>
      <c r="O139">
        <v>112</v>
      </c>
      <c r="P139">
        <v>215</v>
      </c>
      <c r="Q139" t="str">
        <f t="shared" si="3"/>
        <v>23a91a1269@aect.dummy.in</v>
      </c>
    </row>
    <row r="140" spans="1:17" ht="14.4" x14ac:dyDescent="0.3">
      <c r="A140" t="s">
        <v>186</v>
      </c>
      <c r="B140" t="s">
        <v>18</v>
      </c>
      <c r="C140" t="s">
        <v>143</v>
      </c>
      <c r="D140">
        <v>4</v>
      </c>
      <c r="E140">
        <v>0</v>
      </c>
      <c r="F140">
        <v>5</v>
      </c>
      <c r="G140">
        <v>2</v>
      </c>
      <c r="H140">
        <v>0</v>
      </c>
      <c r="I140">
        <v>4</v>
      </c>
      <c r="J140">
        <v>0</v>
      </c>
      <c r="K140" t="s">
        <v>20</v>
      </c>
      <c r="L140">
        <v>1</v>
      </c>
      <c r="M140">
        <v>5000001</v>
      </c>
      <c r="N140">
        <v>0</v>
      </c>
      <c r="O140">
        <v>0</v>
      </c>
      <c r="P140">
        <v>65</v>
      </c>
      <c r="Q140" t="str">
        <f t="shared" si="3"/>
        <v>23a91a1292@aect.dummy.in</v>
      </c>
    </row>
    <row r="141" spans="1:17" ht="14.4" x14ac:dyDescent="0.3">
      <c r="A141" t="s">
        <v>187</v>
      </c>
      <c r="B141" t="s">
        <v>18</v>
      </c>
      <c r="C141" t="s">
        <v>143</v>
      </c>
      <c r="D141">
        <v>4</v>
      </c>
      <c r="E141">
        <v>0</v>
      </c>
      <c r="F141">
        <v>3</v>
      </c>
      <c r="G141">
        <v>3</v>
      </c>
      <c r="H141">
        <v>5</v>
      </c>
      <c r="I141">
        <v>5</v>
      </c>
      <c r="J141">
        <v>2</v>
      </c>
      <c r="K141" t="s">
        <v>67</v>
      </c>
      <c r="L141">
        <v>95</v>
      </c>
      <c r="M141">
        <v>1257047</v>
      </c>
      <c r="N141">
        <v>2</v>
      </c>
      <c r="O141">
        <v>4</v>
      </c>
      <c r="P141">
        <v>930</v>
      </c>
      <c r="Q141" t="str">
        <f t="shared" si="3"/>
        <v>23a91a1293@aect.dummy.in</v>
      </c>
    </row>
    <row r="142" spans="1:17" ht="14.4" x14ac:dyDescent="0.3">
      <c r="A142" t="s">
        <v>188</v>
      </c>
      <c r="B142" t="s">
        <v>18</v>
      </c>
      <c r="C142" t="s">
        <v>189</v>
      </c>
      <c r="D142">
        <v>5</v>
      </c>
      <c r="E142">
        <v>0</v>
      </c>
      <c r="F142">
        <v>5</v>
      </c>
      <c r="G142">
        <v>0</v>
      </c>
      <c r="H142">
        <v>0</v>
      </c>
      <c r="I142">
        <v>3</v>
      </c>
      <c r="J142">
        <v>3</v>
      </c>
      <c r="K142" t="s">
        <v>190</v>
      </c>
      <c r="L142">
        <v>34</v>
      </c>
      <c r="M142">
        <v>2500651</v>
      </c>
      <c r="N142">
        <v>0</v>
      </c>
      <c r="O142">
        <v>0</v>
      </c>
      <c r="P142">
        <v>167</v>
      </c>
      <c r="Q142" t="str">
        <f t="shared" si="3"/>
        <v>23a91a1294@aect.dummy.in</v>
      </c>
    </row>
    <row r="143" spans="1:17" ht="14.4" x14ac:dyDescent="0.3">
      <c r="A143" t="s">
        <v>191</v>
      </c>
      <c r="B143" t="s">
        <v>18</v>
      </c>
      <c r="C143" t="s">
        <v>189</v>
      </c>
      <c r="D143">
        <v>5</v>
      </c>
      <c r="E143">
        <v>0</v>
      </c>
      <c r="F143">
        <v>5</v>
      </c>
      <c r="G143">
        <v>4</v>
      </c>
      <c r="H143">
        <v>0</v>
      </c>
      <c r="I143">
        <v>4</v>
      </c>
      <c r="J143">
        <v>0</v>
      </c>
      <c r="K143" t="s">
        <v>20</v>
      </c>
      <c r="L143">
        <v>1</v>
      </c>
      <c r="M143">
        <v>5000001</v>
      </c>
      <c r="N143">
        <v>2</v>
      </c>
      <c r="O143">
        <v>4</v>
      </c>
      <c r="P143">
        <v>131</v>
      </c>
      <c r="Q143" t="str">
        <f t="shared" si="3"/>
        <v>23a91a1295@aect.dummy.in</v>
      </c>
    </row>
    <row r="144" spans="1:17" ht="14.4" x14ac:dyDescent="0.3">
      <c r="A144" t="s">
        <v>192</v>
      </c>
      <c r="B144" t="s">
        <v>18</v>
      </c>
      <c r="C144" t="s">
        <v>189</v>
      </c>
      <c r="D144">
        <v>3</v>
      </c>
      <c r="E144">
        <v>0</v>
      </c>
      <c r="F144">
        <v>0</v>
      </c>
      <c r="G144">
        <v>0</v>
      </c>
      <c r="H144">
        <v>3</v>
      </c>
      <c r="I144">
        <v>2</v>
      </c>
      <c r="J144">
        <v>2</v>
      </c>
      <c r="K144" t="s">
        <v>67</v>
      </c>
      <c r="L144">
        <v>75</v>
      </c>
      <c r="M144">
        <v>1502899</v>
      </c>
      <c r="N144">
        <v>5</v>
      </c>
      <c r="O144">
        <v>11</v>
      </c>
      <c r="P144">
        <v>57</v>
      </c>
      <c r="Q144" t="str">
        <f t="shared" si="3"/>
        <v>23a91a12a6@aect.dummy.in</v>
      </c>
    </row>
    <row r="145" spans="1:17" ht="14.4" x14ac:dyDescent="0.3">
      <c r="A145" t="s">
        <v>193</v>
      </c>
      <c r="B145" t="s">
        <v>18</v>
      </c>
      <c r="C145" t="s">
        <v>189</v>
      </c>
      <c r="D145">
        <v>5</v>
      </c>
      <c r="E145">
        <v>0</v>
      </c>
      <c r="F145">
        <v>5</v>
      </c>
      <c r="G145">
        <v>1</v>
      </c>
      <c r="H145">
        <v>0</v>
      </c>
      <c r="I145">
        <v>4</v>
      </c>
      <c r="J145">
        <v>0</v>
      </c>
      <c r="K145" t="s">
        <v>20</v>
      </c>
      <c r="L145">
        <v>10</v>
      </c>
      <c r="M145">
        <v>4456737</v>
      </c>
      <c r="N145">
        <v>0</v>
      </c>
      <c r="O145">
        <v>0</v>
      </c>
      <c r="P145">
        <v>70</v>
      </c>
      <c r="Q145" t="str">
        <f t="shared" si="3"/>
        <v>23a91a12a9@aect.dummy.in</v>
      </c>
    </row>
    <row r="146" spans="1:17" ht="14.4" x14ac:dyDescent="0.3">
      <c r="A146" t="s">
        <v>194</v>
      </c>
      <c r="B146" t="s">
        <v>18</v>
      </c>
      <c r="C146" t="s">
        <v>189</v>
      </c>
      <c r="D146">
        <v>3</v>
      </c>
      <c r="E146">
        <v>0</v>
      </c>
      <c r="F146">
        <v>3</v>
      </c>
      <c r="G146">
        <v>0</v>
      </c>
      <c r="H146">
        <v>2</v>
      </c>
      <c r="I146">
        <v>4</v>
      </c>
      <c r="J146">
        <v>2</v>
      </c>
      <c r="K146" t="s">
        <v>67</v>
      </c>
      <c r="L146">
        <v>205</v>
      </c>
      <c r="M146">
        <v>593319</v>
      </c>
      <c r="N146">
        <v>45</v>
      </c>
      <c r="O146">
        <v>156</v>
      </c>
      <c r="P146">
        <v>266</v>
      </c>
      <c r="Q146" t="str">
        <f t="shared" si="3"/>
        <v>23a91a12c1@aect.dummy.in</v>
      </c>
    </row>
    <row r="147" spans="1:17" ht="14.4" x14ac:dyDescent="0.3">
      <c r="A147" t="s">
        <v>195</v>
      </c>
      <c r="B147" t="s">
        <v>18</v>
      </c>
      <c r="C147" t="s">
        <v>189</v>
      </c>
      <c r="D147">
        <v>5</v>
      </c>
      <c r="E147">
        <v>0</v>
      </c>
      <c r="F147">
        <v>5</v>
      </c>
      <c r="G147">
        <v>5</v>
      </c>
      <c r="H147">
        <v>0</v>
      </c>
      <c r="I147">
        <v>4</v>
      </c>
      <c r="J147">
        <v>0</v>
      </c>
      <c r="K147" t="s">
        <v>20</v>
      </c>
      <c r="L147">
        <v>11</v>
      </c>
      <c r="M147">
        <v>4329215</v>
      </c>
      <c r="N147">
        <v>0</v>
      </c>
      <c r="O147">
        <v>0</v>
      </c>
      <c r="P147">
        <v>61</v>
      </c>
      <c r="Q147" t="str">
        <f t="shared" si="3"/>
        <v>23a91a12c4@aect.dummy.in</v>
      </c>
    </row>
    <row r="148" spans="1:17" ht="14.4" x14ac:dyDescent="0.3">
      <c r="A148" t="s">
        <v>196</v>
      </c>
      <c r="B148" t="s">
        <v>18</v>
      </c>
      <c r="C148" t="s">
        <v>189</v>
      </c>
      <c r="D148">
        <v>3</v>
      </c>
      <c r="E148">
        <v>0</v>
      </c>
      <c r="F148">
        <v>0</v>
      </c>
      <c r="G148">
        <v>0</v>
      </c>
      <c r="H148">
        <v>3</v>
      </c>
      <c r="I148">
        <v>3</v>
      </c>
      <c r="J148">
        <v>2</v>
      </c>
      <c r="K148" t="s">
        <v>67</v>
      </c>
      <c r="L148">
        <v>144</v>
      </c>
      <c r="M148">
        <v>869353</v>
      </c>
      <c r="N148">
        <v>27</v>
      </c>
      <c r="O148">
        <v>93</v>
      </c>
      <c r="P148">
        <v>137</v>
      </c>
      <c r="Q148" t="str">
        <f t="shared" si="3"/>
        <v>23a91a12c5@aect.dummy.in</v>
      </c>
    </row>
    <row r="149" spans="1:17" ht="14.4" x14ac:dyDescent="0.3">
      <c r="A149" t="s">
        <v>197</v>
      </c>
      <c r="B149" t="s">
        <v>18</v>
      </c>
      <c r="C149" t="s">
        <v>189</v>
      </c>
      <c r="D149">
        <v>5</v>
      </c>
      <c r="E149">
        <v>0</v>
      </c>
      <c r="F149">
        <v>0</v>
      </c>
      <c r="G149">
        <v>0</v>
      </c>
      <c r="H149">
        <v>1</v>
      </c>
      <c r="I149">
        <v>3</v>
      </c>
      <c r="J149">
        <v>1</v>
      </c>
      <c r="K149" t="s">
        <v>71</v>
      </c>
      <c r="L149">
        <v>54</v>
      </c>
      <c r="M149">
        <v>1880546</v>
      </c>
      <c r="N149">
        <v>3</v>
      </c>
      <c r="O149">
        <v>8</v>
      </c>
      <c r="P149">
        <v>225</v>
      </c>
      <c r="Q149" t="str">
        <f t="shared" si="3"/>
        <v>23a91a4402@aect.dummy.in</v>
      </c>
    </row>
    <row r="150" spans="1:17" ht="14.4" x14ac:dyDescent="0.3">
      <c r="A150" t="s">
        <v>198</v>
      </c>
      <c r="B150" t="s">
        <v>18</v>
      </c>
      <c r="C150" t="s">
        <v>189</v>
      </c>
      <c r="D150">
        <v>5</v>
      </c>
      <c r="E150">
        <v>0</v>
      </c>
      <c r="F150">
        <v>1</v>
      </c>
      <c r="G150">
        <v>3</v>
      </c>
      <c r="H150">
        <v>5</v>
      </c>
      <c r="I150">
        <v>5</v>
      </c>
      <c r="J150">
        <v>1</v>
      </c>
      <c r="K150" t="s">
        <v>71</v>
      </c>
      <c r="L150">
        <v>119</v>
      </c>
      <c r="M150">
        <v>1039330</v>
      </c>
      <c r="N150">
        <v>0</v>
      </c>
      <c r="O150">
        <v>0</v>
      </c>
      <c r="P150">
        <v>177</v>
      </c>
      <c r="Q150" t="str">
        <f t="shared" si="3"/>
        <v>23a91a4403@aect.dummy.in</v>
      </c>
    </row>
    <row r="151" spans="1:17" ht="14.4" x14ac:dyDescent="0.3">
      <c r="A151" t="s">
        <v>199</v>
      </c>
      <c r="B151" t="s">
        <v>18</v>
      </c>
      <c r="C151" t="s">
        <v>189</v>
      </c>
      <c r="D151">
        <v>5</v>
      </c>
      <c r="E151">
        <v>0</v>
      </c>
      <c r="F151">
        <v>0</v>
      </c>
      <c r="G151">
        <v>0</v>
      </c>
      <c r="H151">
        <v>1</v>
      </c>
      <c r="I151">
        <v>2</v>
      </c>
      <c r="J151">
        <v>1</v>
      </c>
      <c r="K151" t="s">
        <v>71</v>
      </c>
      <c r="L151">
        <v>60</v>
      </c>
      <c r="M151">
        <v>1751803</v>
      </c>
      <c r="N151">
        <v>2</v>
      </c>
      <c r="O151">
        <v>4</v>
      </c>
      <c r="P151">
        <v>90</v>
      </c>
      <c r="Q151" t="str">
        <f t="shared" si="3"/>
        <v>23a91a4409@aect.dummy.in</v>
      </c>
    </row>
    <row r="152" spans="1:17" ht="14.4" x14ac:dyDescent="0.3">
      <c r="A152" t="s">
        <v>200</v>
      </c>
      <c r="B152" t="s">
        <v>18</v>
      </c>
      <c r="C152" t="s">
        <v>189</v>
      </c>
      <c r="D152">
        <v>5</v>
      </c>
      <c r="E152">
        <v>0</v>
      </c>
      <c r="F152">
        <v>0</v>
      </c>
      <c r="G152">
        <v>1</v>
      </c>
      <c r="H152">
        <v>0</v>
      </c>
      <c r="I152">
        <v>3</v>
      </c>
      <c r="J152">
        <v>1</v>
      </c>
      <c r="K152" t="s">
        <v>201</v>
      </c>
      <c r="L152">
        <v>7</v>
      </c>
      <c r="M152">
        <v>5000001</v>
      </c>
      <c r="N152">
        <v>0</v>
      </c>
      <c r="O152">
        <v>0</v>
      </c>
      <c r="P152">
        <v>42</v>
      </c>
      <c r="Q152" t="str">
        <f t="shared" si="3"/>
        <v>23a91a4410@aect.dummy.in</v>
      </c>
    </row>
    <row r="153" spans="1:17" ht="14.4" x14ac:dyDescent="0.3">
      <c r="A153" t="s">
        <v>202</v>
      </c>
      <c r="B153" t="s">
        <v>18</v>
      </c>
      <c r="C153" t="s">
        <v>189</v>
      </c>
      <c r="D153">
        <v>2</v>
      </c>
      <c r="E153">
        <v>0</v>
      </c>
      <c r="F153">
        <v>0</v>
      </c>
      <c r="G153">
        <v>1</v>
      </c>
      <c r="H153">
        <v>5</v>
      </c>
      <c r="I153">
        <v>4</v>
      </c>
      <c r="J153">
        <v>1</v>
      </c>
      <c r="K153" t="s">
        <v>71</v>
      </c>
      <c r="L153">
        <v>83</v>
      </c>
      <c r="M153">
        <v>1392748</v>
      </c>
      <c r="N153">
        <v>21</v>
      </c>
      <c r="O153">
        <v>80</v>
      </c>
      <c r="P153">
        <v>60</v>
      </c>
      <c r="Q153" t="str">
        <f t="shared" si="3"/>
        <v>23a91a4429@aect.dummy.in</v>
      </c>
    </row>
    <row r="154" spans="1:17" ht="14.4" x14ac:dyDescent="0.3">
      <c r="A154" t="s">
        <v>203</v>
      </c>
      <c r="B154" t="s">
        <v>18</v>
      </c>
      <c r="C154" t="s">
        <v>189</v>
      </c>
      <c r="D154">
        <v>4</v>
      </c>
      <c r="E154">
        <v>0</v>
      </c>
      <c r="F154">
        <v>0</v>
      </c>
      <c r="G154">
        <v>0</v>
      </c>
      <c r="H154">
        <v>0</v>
      </c>
      <c r="I154">
        <v>2</v>
      </c>
      <c r="J154">
        <v>0</v>
      </c>
      <c r="K154" t="s">
        <v>20</v>
      </c>
      <c r="L154">
        <v>23</v>
      </c>
      <c r="M154">
        <v>3066563</v>
      </c>
      <c r="N154">
        <v>6</v>
      </c>
      <c r="O154">
        <v>6</v>
      </c>
      <c r="P154">
        <v>73</v>
      </c>
      <c r="Q154" t="str">
        <f t="shared" si="3"/>
        <v>23a91a4440@aect.dummy.in</v>
      </c>
    </row>
    <row r="155" spans="1:17" ht="14.4" x14ac:dyDescent="0.3">
      <c r="A155" t="s">
        <v>204</v>
      </c>
      <c r="B155" t="s">
        <v>18</v>
      </c>
      <c r="C155" t="s">
        <v>189</v>
      </c>
      <c r="D155">
        <v>5</v>
      </c>
      <c r="E155">
        <v>1</v>
      </c>
      <c r="F155">
        <v>0</v>
      </c>
      <c r="G155">
        <v>1</v>
      </c>
      <c r="H155">
        <v>4</v>
      </c>
      <c r="I155">
        <v>5</v>
      </c>
      <c r="J155">
        <v>1</v>
      </c>
      <c r="K155" t="s">
        <v>71</v>
      </c>
      <c r="L155">
        <v>39</v>
      </c>
      <c r="M155">
        <v>2308156</v>
      </c>
      <c r="N155">
        <v>3</v>
      </c>
      <c r="O155">
        <v>6</v>
      </c>
      <c r="P155">
        <v>529</v>
      </c>
      <c r="Q155" t="str">
        <f t="shared" si="3"/>
        <v>23a91a4445@aect.dummy.in</v>
      </c>
    </row>
    <row r="156" spans="1:17" ht="14.4" x14ac:dyDescent="0.3">
      <c r="A156" t="s">
        <v>205</v>
      </c>
      <c r="B156" t="s">
        <v>18</v>
      </c>
      <c r="C156" t="s">
        <v>189</v>
      </c>
      <c r="D156">
        <v>3</v>
      </c>
      <c r="E156">
        <v>3</v>
      </c>
      <c r="F156">
        <v>3</v>
      </c>
      <c r="G156">
        <v>3</v>
      </c>
      <c r="H156">
        <v>4</v>
      </c>
      <c r="I156">
        <v>6</v>
      </c>
      <c r="J156">
        <v>1</v>
      </c>
      <c r="K156" t="s">
        <v>71</v>
      </c>
      <c r="L156">
        <v>60</v>
      </c>
      <c r="M156">
        <v>1753828</v>
      </c>
      <c r="N156">
        <v>93</v>
      </c>
      <c r="O156">
        <v>328</v>
      </c>
      <c r="P156">
        <v>503</v>
      </c>
      <c r="Q156" t="str">
        <f t="shared" si="3"/>
        <v>23a91a4454@aect.dummy.in</v>
      </c>
    </row>
    <row r="157" spans="1:17" ht="14.4" x14ac:dyDescent="0.3">
      <c r="A157" t="s">
        <v>206</v>
      </c>
      <c r="B157" t="s">
        <v>18</v>
      </c>
      <c r="C157" t="s">
        <v>189</v>
      </c>
      <c r="D157">
        <v>0</v>
      </c>
      <c r="E157">
        <v>0</v>
      </c>
      <c r="F157">
        <v>0</v>
      </c>
      <c r="G157">
        <v>0</v>
      </c>
      <c r="H157">
        <v>0</v>
      </c>
      <c r="I157">
        <v>0</v>
      </c>
      <c r="J157">
        <v>0</v>
      </c>
      <c r="K157" t="s">
        <v>20</v>
      </c>
      <c r="L157">
        <v>0</v>
      </c>
      <c r="M157">
        <v>0</v>
      </c>
      <c r="N157">
        <v>0</v>
      </c>
      <c r="O157">
        <v>0</v>
      </c>
      <c r="P157">
        <v>0</v>
      </c>
      <c r="Q157" t="str">
        <f t="shared" si="3"/>
        <v>23a91a4459@aect.dummy.in</v>
      </c>
    </row>
    <row r="158" spans="1:17" ht="14.4" x14ac:dyDescent="0.3">
      <c r="A158" t="s">
        <v>207</v>
      </c>
      <c r="B158" t="s">
        <v>18</v>
      </c>
      <c r="C158" t="s">
        <v>189</v>
      </c>
      <c r="D158">
        <v>2</v>
      </c>
      <c r="E158">
        <v>0</v>
      </c>
      <c r="F158">
        <v>0</v>
      </c>
      <c r="G158">
        <v>0</v>
      </c>
      <c r="H158">
        <v>0</v>
      </c>
      <c r="I158">
        <v>1</v>
      </c>
      <c r="J158">
        <v>0</v>
      </c>
      <c r="K158" t="s">
        <v>20</v>
      </c>
      <c r="L158">
        <v>0</v>
      </c>
      <c r="M158">
        <v>5000001</v>
      </c>
      <c r="N158">
        <v>0</v>
      </c>
      <c r="O158">
        <v>0</v>
      </c>
      <c r="P158">
        <v>3</v>
      </c>
      <c r="Q158" t="str">
        <f t="shared" si="3"/>
        <v>23a91a4465@aect.dummy.in</v>
      </c>
    </row>
    <row r="159" spans="1:17" ht="14.4" x14ac:dyDescent="0.3">
      <c r="A159" t="s">
        <v>208</v>
      </c>
      <c r="B159" t="s">
        <v>18</v>
      </c>
      <c r="C159" t="s">
        <v>189</v>
      </c>
      <c r="D159">
        <v>2</v>
      </c>
      <c r="E159">
        <v>0</v>
      </c>
      <c r="F159">
        <v>0</v>
      </c>
      <c r="G159">
        <v>0</v>
      </c>
      <c r="H159">
        <v>4</v>
      </c>
      <c r="I159">
        <v>3</v>
      </c>
      <c r="J159">
        <v>1</v>
      </c>
      <c r="K159" t="s">
        <v>71</v>
      </c>
      <c r="L159">
        <v>11</v>
      </c>
      <c r="M159">
        <v>4290187</v>
      </c>
      <c r="N159">
        <v>0</v>
      </c>
      <c r="O159">
        <v>0</v>
      </c>
      <c r="P159">
        <v>26</v>
      </c>
      <c r="Q159" t="str">
        <f t="shared" si="3"/>
        <v>23a91a6105@aect.dummy.in</v>
      </c>
    </row>
    <row r="160" spans="1:17" ht="14.4" x14ac:dyDescent="0.3">
      <c r="A160" t="s">
        <v>209</v>
      </c>
      <c r="B160" t="s">
        <v>18</v>
      </c>
      <c r="C160" t="s">
        <v>189</v>
      </c>
      <c r="D160">
        <v>3</v>
      </c>
      <c r="E160">
        <v>1</v>
      </c>
      <c r="F160">
        <v>5</v>
      </c>
      <c r="G160">
        <v>1</v>
      </c>
      <c r="H160">
        <v>2</v>
      </c>
      <c r="I160">
        <v>5</v>
      </c>
      <c r="J160">
        <v>0</v>
      </c>
      <c r="K160" t="s">
        <v>20</v>
      </c>
      <c r="L160">
        <v>31</v>
      </c>
      <c r="M160">
        <v>2624147</v>
      </c>
      <c r="N160">
        <v>9</v>
      </c>
      <c r="O160">
        <v>12</v>
      </c>
      <c r="P160">
        <v>125</v>
      </c>
      <c r="Q160" t="str">
        <f t="shared" si="3"/>
        <v>23a91a6108@aect.dummy.in</v>
      </c>
    </row>
    <row r="161" spans="1:17" ht="14.4" x14ac:dyDescent="0.3">
      <c r="A161" t="s">
        <v>210</v>
      </c>
      <c r="B161" t="s">
        <v>18</v>
      </c>
      <c r="C161" t="s">
        <v>189</v>
      </c>
      <c r="D161">
        <v>5</v>
      </c>
      <c r="E161">
        <v>0</v>
      </c>
      <c r="F161">
        <v>0</v>
      </c>
      <c r="G161">
        <v>0</v>
      </c>
      <c r="H161">
        <v>5</v>
      </c>
      <c r="I161">
        <v>2</v>
      </c>
      <c r="J161">
        <v>2</v>
      </c>
      <c r="K161" t="s">
        <v>106</v>
      </c>
      <c r="L161">
        <v>115</v>
      </c>
      <c r="M161">
        <v>1070228</v>
      </c>
      <c r="N161">
        <v>1</v>
      </c>
      <c r="O161">
        <v>1</v>
      </c>
      <c r="P161">
        <v>280</v>
      </c>
      <c r="Q161" t="str">
        <f t="shared" si="3"/>
        <v>23a91a6112@aect.dummy.in</v>
      </c>
    </row>
    <row r="162" spans="1:17" ht="14.4" x14ac:dyDescent="0.3">
      <c r="A162" t="s">
        <v>211</v>
      </c>
      <c r="B162" t="s">
        <v>18</v>
      </c>
      <c r="C162" t="s">
        <v>189</v>
      </c>
      <c r="D162">
        <v>4</v>
      </c>
      <c r="E162">
        <v>3</v>
      </c>
      <c r="F162">
        <v>3</v>
      </c>
      <c r="G162">
        <v>5</v>
      </c>
      <c r="H162">
        <v>5</v>
      </c>
      <c r="I162">
        <v>6</v>
      </c>
      <c r="J162">
        <v>3</v>
      </c>
      <c r="K162" t="s">
        <v>124</v>
      </c>
      <c r="L162">
        <v>181</v>
      </c>
      <c r="M162">
        <v>683790</v>
      </c>
      <c r="N162">
        <v>110</v>
      </c>
      <c r="O162">
        <v>367</v>
      </c>
      <c r="P162">
        <v>325</v>
      </c>
      <c r="Q162" t="str">
        <f t="shared" si="3"/>
        <v>23a91a6113@aect.dummy.in</v>
      </c>
    </row>
    <row r="163" spans="1:17" ht="14.4" x14ac:dyDescent="0.3">
      <c r="A163" t="s">
        <v>212</v>
      </c>
      <c r="B163" t="s">
        <v>18</v>
      </c>
      <c r="C163" t="s">
        <v>189</v>
      </c>
      <c r="D163">
        <v>5</v>
      </c>
      <c r="E163">
        <v>0</v>
      </c>
      <c r="F163">
        <v>2</v>
      </c>
      <c r="G163">
        <v>5</v>
      </c>
      <c r="H163">
        <v>5</v>
      </c>
      <c r="I163">
        <v>5</v>
      </c>
      <c r="J163">
        <v>1</v>
      </c>
      <c r="K163" t="s">
        <v>71</v>
      </c>
      <c r="L163">
        <v>73</v>
      </c>
      <c r="M163">
        <v>1529510</v>
      </c>
      <c r="N163">
        <v>0</v>
      </c>
      <c r="O163">
        <v>0</v>
      </c>
      <c r="P163">
        <v>75</v>
      </c>
      <c r="Q163" t="str">
        <f t="shared" si="3"/>
        <v>23a91a6116@aect.dummy.in</v>
      </c>
    </row>
    <row r="164" spans="1:17" ht="14.4" x14ac:dyDescent="0.3">
      <c r="A164" t="s">
        <v>213</v>
      </c>
      <c r="B164" t="s">
        <v>18</v>
      </c>
      <c r="C164" t="s">
        <v>189</v>
      </c>
      <c r="D164">
        <v>5</v>
      </c>
      <c r="E164">
        <v>0</v>
      </c>
      <c r="F164">
        <v>0</v>
      </c>
      <c r="G164">
        <v>0</v>
      </c>
      <c r="H164">
        <v>2</v>
      </c>
      <c r="I164">
        <v>3</v>
      </c>
      <c r="J164">
        <v>2</v>
      </c>
      <c r="K164" t="s">
        <v>69</v>
      </c>
      <c r="L164">
        <v>30</v>
      </c>
      <c r="M164">
        <v>2675759</v>
      </c>
      <c r="N164">
        <v>6</v>
      </c>
      <c r="O164">
        <v>9</v>
      </c>
      <c r="P164">
        <v>234</v>
      </c>
      <c r="Q164" t="str">
        <f t="shared" si="3"/>
        <v>23a91a6119@aect.dummy.in</v>
      </c>
    </row>
    <row r="165" spans="1:17" ht="14.4" x14ac:dyDescent="0.3">
      <c r="A165" t="s">
        <v>214</v>
      </c>
      <c r="B165" t="s">
        <v>18</v>
      </c>
      <c r="C165" t="s">
        <v>189</v>
      </c>
      <c r="D165">
        <v>4</v>
      </c>
      <c r="E165">
        <v>0</v>
      </c>
      <c r="F165">
        <v>0</v>
      </c>
      <c r="G165">
        <v>0</v>
      </c>
      <c r="H165">
        <v>2</v>
      </c>
      <c r="I165">
        <v>3</v>
      </c>
      <c r="J165">
        <v>1</v>
      </c>
      <c r="K165" t="s">
        <v>71</v>
      </c>
      <c r="L165">
        <v>124</v>
      </c>
      <c r="M165">
        <v>1000017</v>
      </c>
      <c r="N165">
        <v>46</v>
      </c>
      <c r="O165">
        <v>136</v>
      </c>
      <c r="P165">
        <v>302</v>
      </c>
      <c r="Q165" t="str">
        <f t="shared" si="3"/>
        <v>23a91a6124@aect.dummy.in</v>
      </c>
    </row>
    <row r="166" spans="1:17" ht="14.4" x14ac:dyDescent="0.3">
      <c r="A166" t="s">
        <v>215</v>
      </c>
      <c r="B166" t="s">
        <v>18</v>
      </c>
      <c r="C166" t="s">
        <v>189</v>
      </c>
      <c r="D166">
        <v>5</v>
      </c>
      <c r="E166">
        <v>0</v>
      </c>
      <c r="F166">
        <v>3</v>
      </c>
      <c r="G166">
        <v>3</v>
      </c>
      <c r="H166">
        <v>5</v>
      </c>
      <c r="I166">
        <v>5</v>
      </c>
      <c r="J166">
        <v>2</v>
      </c>
      <c r="K166" t="s">
        <v>67</v>
      </c>
      <c r="L166">
        <v>209</v>
      </c>
      <c r="M166">
        <v>579693</v>
      </c>
      <c r="N166">
        <v>49</v>
      </c>
      <c r="O166">
        <v>133</v>
      </c>
      <c r="P166">
        <v>1044</v>
      </c>
      <c r="Q166" t="str">
        <f t="shared" si="3"/>
        <v>23a91a6127@aect.dummy.in</v>
      </c>
    </row>
    <row r="167" spans="1:17" ht="14.4" x14ac:dyDescent="0.3">
      <c r="A167" t="s">
        <v>216</v>
      </c>
      <c r="B167" t="s">
        <v>18</v>
      </c>
      <c r="C167" t="s">
        <v>189</v>
      </c>
      <c r="D167">
        <v>4</v>
      </c>
      <c r="E167">
        <v>0</v>
      </c>
      <c r="F167">
        <v>1</v>
      </c>
      <c r="G167">
        <v>0</v>
      </c>
      <c r="H167">
        <v>5</v>
      </c>
      <c r="I167">
        <v>4</v>
      </c>
      <c r="J167">
        <v>2</v>
      </c>
      <c r="K167" t="s">
        <v>217</v>
      </c>
      <c r="L167">
        <v>72</v>
      </c>
      <c r="M167">
        <v>1546026</v>
      </c>
      <c r="N167">
        <v>0</v>
      </c>
      <c r="O167">
        <v>0</v>
      </c>
      <c r="P167">
        <v>411</v>
      </c>
      <c r="Q167" t="str">
        <f t="shared" si="3"/>
        <v>23a91a6136@aect.dummy.in</v>
      </c>
    </row>
    <row r="168" spans="1:17" ht="14.4" x14ac:dyDescent="0.3">
      <c r="A168" t="s">
        <v>218</v>
      </c>
      <c r="B168" t="s">
        <v>18</v>
      </c>
      <c r="C168" t="s">
        <v>189</v>
      </c>
      <c r="D168">
        <v>5</v>
      </c>
      <c r="E168">
        <v>0</v>
      </c>
      <c r="F168">
        <v>0</v>
      </c>
      <c r="G168">
        <v>0</v>
      </c>
      <c r="H168">
        <v>4</v>
      </c>
      <c r="I168">
        <v>2</v>
      </c>
      <c r="J168">
        <v>1</v>
      </c>
      <c r="K168" t="s">
        <v>71</v>
      </c>
      <c r="L168">
        <v>16</v>
      </c>
      <c r="M168">
        <v>3674756</v>
      </c>
      <c r="N168">
        <v>28</v>
      </c>
      <c r="O168">
        <v>105</v>
      </c>
      <c r="P168">
        <v>65</v>
      </c>
      <c r="Q168" t="str">
        <f t="shared" si="3"/>
        <v>23a91a6142@aect.dummy.in</v>
      </c>
    </row>
    <row r="169" spans="1:17" ht="14.4" x14ac:dyDescent="0.3">
      <c r="A169" t="s">
        <v>219</v>
      </c>
      <c r="B169" t="s">
        <v>220</v>
      </c>
      <c r="C169" t="s">
        <v>19</v>
      </c>
      <c r="D169">
        <v>5</v>
      </c>
      <c r="E169">
        <v>0</v>
      </c>
      <c r="F169">
        <v>0</v>
      </c>
      <c r="G169">
        <v>2</v>
      </c>
      <c r="H169">
        <v>4</v>
      </c>
      <c r="I169">
        <v>4</v>
      </c>
      <c r="J169">
        <v>2</v>
      </c>
      <c r="K169" t="s">
        <v>67</v>
      </c>
      <c r="L169">
        <v>63</v>
      </c>
      <c r="M169">
        <v>1696238</v>
      </c>
      <c r="N169">
        <v>11</v>
      </c>
      <c r="O169">
        <v>17</v>
      </c>
      <c r="P169">
        <v>364</v>
      </c>
      <c r="Q169" t="str">
        <f t="shared" si="3"/>
        <v>23a91a6144@aect.dummy.in</v>
      </c>
    </row>
    <row r="170" spans="1:17" ht="14.4" x14ac:dyDescent="0.3">
      <c r="A170" t="s">
        <v>221</v>
      </c>
      <c r="B170" t="s">
        <v>220</v>
      </c>
      <c r="C170" t="s">
        <v>19</v>
      </c>
      <c r="D170">
        <v>1</v>
      </c>
      <c r="E170">
        <v>0</v>
      </c>
      <c r="F170">
        <v>0</v>
      </c>
      <c r="G170">
        <v>0</v>
      </c>
      <c r="H170">
        <v>0</v>
      </c>
      <c r="I170">
        <v>2</v>
      </c>
      <c r="J170">
        <v>0</v>
      </c>
      <c r="K170" t="s">
        <v>20</v>
      </c>
      <c r="L170">
        <v>0</v>
      </c>
      <c r="M170">
        <v>5000001</v>
      </c>
      <c r="N170">
        <v>0</v>
      </c>
      <c r="O170">
        <v>0</v>
      </c>
      <c r="P170">
        <v>115</v>
      </c>
      <c r="Q170" t="str">
        <f t="shared" si="3"/>
        <v>23a91a6149@aect.dummy.in</v>
      </c>
    </row>
    <row r="171" spans="1:17" ht="14.4" x14ac:dyDescent="0.3">
      <c r="A171" t="s">
        <v>222</v>
      </c>
      <c r="B171" t="s">
        <v>220</v>
      </c>
      <c r="C171" t="s">
        <v>19</v>
      </c>
      <c r="D171">
        <v>0</v>
      </c>
      <c r="E171">
        <v>0</v>
      </c>
      <c r="F171">
        <v>0</v>
      </c>
      <c r="G171">
        <v>0</v>
      </c>
      <c r="H171">
        <v>0</v>
      </c>
      <c r="I171">
        <v>0</v>
      </c>
      <c r="J171">
        <v>0</v>
      </c>
      <c r="K171" t="s">
        <v>20</v>
      </c>
      <c r="L171">
        <v>42</v>
      </c>
      <c r="M171">
        <v>2207971</v>
      </c>
      <c r="N171">
        <v>10</v>
      </c>
      <c r="O171">
        <v>23</v>
      </c>
      <c r="P171">
        <v>244</v>
      </c>
      <c r="Q171" t="str">
        <f t="shared" si="3"/>
        <v>23a91a6151@aect.dummy.in</v>
      </c>
    </row>
    <row r="172" spans="1:17" ht="14.4" x14ac:dyDescent="0.3">
      <c r="A172" t="s">
        <v>223</v>
      </c>
      <c r="B172" t="s">
        <v>220</v>
      </c>
      <c r="C172" t="s">
        <v>19</v>
      </c>
      <c r="D172">
        <v>3</v>
      </c>
      <c r="E172">
        <v>2</v>
      </c>
      <c r="F172">
        <v>0</v>
      </c>
      <c r="G172">
        <v>2</v>
      </c>
      <c r="H172">
        <v>4</v>
      </c>
      <c r="I172">
        <v>5</v>
      </c>
      <c r="J172">
        <v>1</v>
      </c>
      <c r="K172" t="s">
        <v>71</v>
      </c>
      <c r="L172">
        <v>66</v>
      </c>
      <c r="M172">
        <v>1642169</v>
      </c>
      <c r="N172">
        <v>79</v>
      </c>
      <c r="O172">
        <v>117</v>
      </c>
      <c r="P172">
        <v>480</v>
      </c>
      <c r="Q172" t="str">
        <f t="shared" si="3"/>
        <v>23a91a6152@aect.dummy.in</v>
      </c>
    </row>
    <row r="173" spans="1:17" ht="14.4" x14ac:dyDescent="0.3">
      <c r="A173" t="s">
        <v>224</v>
      </c>
      <c r="B173" t="s">
        <v>220</v>
      </c>
      <c r="C173" t="s">
        <v>19</v>
      </c>
      <c r="D173">
        <v>2</v>
      </c>
      <c r="E173">
        <v>0</v>
      </c>
      <c r="F173">
        <v>1</v>
      </c>
      <c r="G173">
        <v>0</v>
      </c>
      <c r="H173">
        <v>4</v>
      </c>
      <c r="I173">
        <v>3</v>
      </c>
      <c r="J173">
        <v>1</v>
      </c>
      <c r="K173" t="s">
        <v>71</v>
      </c>
      <c r="L173">
        <v>42</v>
      </c>
      <c r="M173">
        <v>2207974</v>
      </c>
      <c r="N173">
        <v>7</v>
      </c>
      <c r="O173">
        <v>12</v>
      </c>
      <c r="P173">
        <v>259</v>
      </c>
      <c r="Q173" t="str">
        <f t="shared" si="3"/>
        <v>23a91a6153@aect.dummy.in</v>
      </c>
    </row>
    <row r="174" spans="1:17" ht="14.4" x14ac:dyDescent="0.3">
      <c r="A174" t="s">
        <v>225</v>
      </c>
      <c r="B174" t="s">
        <v>220</v>
      </c>
      <c r="C174" t="s">
        <v>19</v>
      </c>
      <c r="D174">
        <v>5</v>
      </c>
      <c r="E174">
        <v>0</v>
      </c>
      <c r="F174">
        <v>5</v>
      </c>
      <c r="G174">
        <v>1</v>
      </c>
      <c r="H174">
        <v>2</v>
      </c>
      <c r="I174">
        <v>5</v>
      </c>
      <c r="J174">
        <v>0</v>
      </c>
      <c r="K174" t="s">
        <v>20</v>
      </c>
      <c r="L174">
        <v>2</v>
      </c>
      <c r="M174">
        <v>5000001</v>
      </c>
      <c r="N174">
        <v>1</v>
      </c>
      <c r="O174">
        <v>1</v>
      </c>
      <c r="P174">
        <v>115</v>
      </c>
      <c r="Q174" t="str">
        <f t="shared" si="3"/>
        <v>23a91a6159@aect.dummy.in</v>
      </c>
    </row>
    <row r="175" spans="1:17" ht="14.4" x14ac:dyDescent="0.3">
      <c r="A175" t="s">
        <v>226</v>
      </c>
      <c r="B175" t="s">
        <v>220</v>
      </c>
      <c r="C175" t="s">
        <v>19</v>
      </c>
      <c r="D175">
        <v>4</v>
      </c>
      <c r="E175">
        <v>1</v>
      </c>
      <c r="F175">
        <v>0</v>
      </c>
      <c r="G175">
        <v>0</v>
      </c>
      <c r="H175">
        <v>3</v>
      </c>
      <c r="I175">
        <v>4</v>
      </c>
      <c r="J175">
        <v>1</v>
      </c>
      <c r="K175" t="s">
        <v>71</v>
      </c>
      <c r="L175">
        <v>338</v>
      </c>
      <c r="M175">
        <v>298490</v>
      </c>
      <c r="N175">
        <v>114</v>
      </c>
      <c r="O175">
        <v>347</v>
      </c>
      <c r="P175">
        <v>381</v>
      </c>
      <c r="Q175" t="str">
        <f t="shared" si="3"/>
        <v>23a91a6166@aect.dummy.in</v>
      </c>
    </row>
    <row r="176" spans="1:17" ht="14.4" x14ac:dyDescent="0.3">
      <c r="A176" t="s">
        <v>227</v>
      </c>
      <c r="B176" t="s">
        <v>220</v>
      </c>
      <c r="C176" t="s">
        <v>19</v>
      </c>
      <c r="D176">
        <v>3</v>
      </c>
      <c r="E176">
        <v>3</v>
      </c>
      <c r="F176">
        <v>1</v>
      </c>
      <c r="G176">
        <v>3</v>
      </c>
      <c r="H176">
        <v>3</v>
      </c>
      <c r="I176">
        <v>6</v>
      </c>
      <c r="J176">
        <v>1</v>
      </c>
      <c r="K176" t="s">
        <v>71</v>
      </c>
      <c r="L176">
        <v>120</v>
      </c>
      <c r="M176">
        <v>1031082</v>
      </c>
      <c r="N176">
        <v>118</v>
      </c>
      <c r="O176">
        <v>197</v>
      </c>
      <c r="P176">
        <v>349</v>
      </c>
      <c r="Q176" t="str">
        <f t="shared" si="3"/>
        <v>23a91a6168@aect.dummy.in</v>
      </c>
    </row>
    <row r="177" spans="1:17" ht="14.4" x14ac:dyDescent="0.3">
      <c r="A177" t="s">
        <v>228</v>
      </c>
      <c r="B177" t="s">
        <v>220</v>
      </c>
      <c r="C177" t="s">
        <v>19</v>
      </c>
      <c r="D177">
        <v>3</v>
      </c>
      <c r="E177">
        <v>0</v>
      </c>
      <c r="F177">
        <v>0</v>
      </c>
      <c r="G177">
        <v>2</v>
      </c>
      <c r="H177">
        <v>4</v>
      </c>
      <c r="I177">
        <v>4</v>
      </c>
      <c r="J177">
        <v>1</v>
      </c>
      <c r="K177" t="s">
        <v>71</v>
      </c>
      <c r="L177">
        <v>43</v>
      </c>
      <c r="M177">
        <v>2176916</v>
      </c>
      <c r="N177">
        <v>4</v>
      </c>
      <c r="O177">
        <v>5</v>
      </c>
      <c r="P177">
        <v>734</v>
      </c>
      <c r="Q177" t="str">
        <f t="shared" si="3"/>
        <v>23a91a6169@aect.dummy.in</v>
      </c>
    </row>
    <row r="178" spans="1:17" ht="14.4" x14ac:dyDescent="0.3">
      <c r="A178" t="s">
        <v>229</v>
      </c>
      <c r="B178" t="s">
        <v>220</v>
      </c>
      <c r="C178" t="s">
        <v>19</v>
      </c>
      <c r="D178">
        <v>1</v>
      </c>
      <c r="E178">
        <v>0</v>
      </c>
      <c r="F178">
        <v>0</v>
      </c>
      <c r="G178">
        <v>0</v>
      </c>
      <c r="H178">
        <v>3</v>
      </c>
      <c r="I178">
        <v>3</v>
      </c>
      <c r="J178">
        <v>1</v>
      </c>
      <c r="K178" t="s">
        <v>90</v>
      </c>
      <c r="L178">
        <v>45</v>
      </c>
      <c r="M178">
        <v>2117895</v>
      </c>
      <c r="N178">
        <v>0</v>
      </c>
      <c r="O178">
        <v>0</v>
      </c>
      <c r="P178">
        <v>163</v>
      </c>
      <c r="Q178" t="str">
        <f t="shared" si="3"/>
        <v>23a91a6171@aect.dummy.in</v>
      </c>
    </row>
    <row r="179" spans="1:17" ht="14.4" x14ac:dyDescent="0.3">
      <c r="A179" t="s">
        <v>230</v>
      </c>
      <c r="B179" t="s">
        <v>220</v>
      </c>
      <c r="C179" t="s">
        <v>19</v>
      </c>
      <c r="D179">
        <v>3</v>
      </c>
      <c r="E179">
        <v>0</v>
      </c>
      <c r="F179">
        <v>2</v>
      </c>
      <c r="G179">
        <v>2</v>
      </c>
      <c r="H179">
        <v>4</v>
      </c>
      <c r="I179">
        <v>5</v>
      </c>
      <c r="J179">
        <v>1</v>
      </c>
      <c r="K179" t="s">
        <v>71</v>
      </c>
      <c r="L179">
        <v>157</v>
      </c>
      <c r="M179">
        <v>795383</v>
      </c>
      <c r="N179">
        <v>183</v>
      </c>
      <c r="O179">
        <v>404</v>
      </c>
      <c r="P179">
        <v>0</v>
      </c>
      <c r="Q179" t="str">
        <f t="shared" si="3"/>
        <v>23a91a6172@aect.dummy.in</v>
      </c>
    </row>
    <row r="180" spans="1:17" ht="14.4" x14ac:dyDescent="0.3">
      <c r="A180" t="s">
        <v>231</v>
      </c>
      <c r="B180" t="s">
        <v>220</v>
      </c>
      <c r="C180" t="s">
        <v>19</v>
      </c>
      <c r="D180">
        <v>4</v>
      </c>
      <c r="E180">
        <v>3</v>
      </c>
      <c r="F180">
        <v>2</v>
      </c>
      <c r="G180">
        <v>1</v>
      </c>
      <c r="H180">
        <v>4</v>
      </c>
      <c r="I180">
        <v>6</v>
      </c>
      <c r="J180">
        <v>1</v>
      </c>
      <c r="K180" t="s">
        <v>71</v>
      </c>
      <c r="L180">
        <v>226</v>
      </c>
      <c r="M180">
        <v>526298</v>
      </c>
      <c r="N180">
        <v>166</v>
      </c>
      <c r="O180">
        <v>313</v>
      </c>
      <c r="P180">
        <v>108</v>
      </c>
      <c r="Q180" t="str">
        <f t="shared" si="3"/>
        <v>23a91a6181@aect.dummy.in</v>
      </c>
    </row>
    <row r="181" spans="1:17" ht="14.4" x14ac:dyDescent="0.3">
      <c r="A181" t="s">
        <v>232</v>
      </c>
      <c r="B181" t="s">
        <v>220</v>
      </c>
      <c r="C181" t="s">
        <v>19</v>
      </c>
      <c r="D181">
        <v>3</v>
      </c>
      <c r="E181">
        <v>0</v>
      </c>
      <c r="F181">
        <v>0</v>
      </c>
      <c r="G181">
        <v>1</v>
      </c>
      <c r="H181">
        <v>5</v>
      </c>
      <c r="I181">
        <v>3</v>
      </c>
      <c r="J181">
        <v>3</v>
      </c>
      <c r="K181" t="s">
        <v>233</v>
      </c>
      <c r="L181">
        <v>16</v>
      </c>
      <c r="M181">
        <v>3657397</v>
      </c>
      <c r="N181">
        <v>11</v>
      </c>
      <c r="O181">
        <v>40</v>
      </c>
      <c r="P181">
        <v>146</v>
      </c>
      <c r="Q181" t="str">
        <f t="shared" si="3"/>
        <v>23a91a6188@aect.dummy.in</v>
      </c>
    </row>
    <row r="182" spans="1:17" ht="14.4" x14ac:dyDescent="0.3">
      <c r="A182" t="s">
        <v>234</v>
      </c>
      <c r="B182" t="s">
        <v>220</v>
      </c>
      <c r="C182" t="s">
        <v>19</v>
      </c>
      <c r="D182">
        <v>3</v>
      </c>
      <c r="E182">
        <v>0</v>
      </c>
      <c r="F182">
        <v>3</v>
      </c>
      <c r="G182">
        <v>3</v>
      </c>
      <c r="H182">
        <v>4</v>
      </c>
      <c r="I182">
        <v>5</v>
      </c>
      <c r="J182">
        <v>1</v>
      </c>
      <c r="K182" t="s">
        <v>71</v>
      </c>
      <c r="L182">
        <v>88</v>
      </c>
      <c r="M182">
        <v>1333186</v>
      </c>
      <c r="N182">
        <v>47</v>
      </c>
      <c r="O182">
        <v>81</v>
      </c>
      <c r="P182">
        <v>547</v>
      </c>
      <c r="Q182" t="str">
        <f t="shared" si="3"/>
        <v>23a91a6191@aect.dummy.in</v>
      </c>
    </row>
    <row r="183" spans="1:17" ht="14.4" x14ac:dyDescent="0.3">
      <c r="A183" t="s">
        <v>235</v>
      </c>
      <c r="B183" t="s">
        <v>220</v>
      </c>
      <c r="C183" t="s">
        <v>19</v>
      </c>
      <c r="D183">
        <v>5</v>
      </c>
      <c r="E183">
        <v>4</v>
      </c>
      <c r="F183">
        <v>3</v>
      </c>
      <c r="G183">
        <v>4</v>
      </c>
      <c r="H183">
        <v>5</v>
      </c>
      <c r="I183">
        <v>6</v>
      </c>
      <c r="J183">
        <v>2</v>
      </c>
      <c r="K183" t="s">
        <v>67</v>
      </c>
      <c r="L183">
        <v>265</v>
      </c>
      <c r="M183">
        <v>426779</v>
      </c>
      <c r="N183">
        <v>89</v>
      </c>
      <c r="O183">
        <v>199</v>
      </c>
      <c r="P183">
        <v>162</v>
      </c>
      <c r="Q183" t="str">
        <f t="shared" si="3"/>
        <v>23a91a61a0@aect.dummy.in</v>
      </c>
    </row>
    <row r="184" spans="1:17" ht="14.4" x14ac:dyDescent="0.3">
      <c r="A184" t="s">
        <v>236</v>
      </c>
      <c r="B184" t="s">
        <v>220</v>
      </c>
      <c r="C184" t="s">
        <v>19</v>
      </c>
      <c r="D184">
        <v>4</v>
      </c>
      <c r="E184">
        <v>0</v>
      </c>
      <c r="F184">
        <v>0</v>
      </c>
      <c r="G184">
        <v>0</v>
      </c>
      <c r="H184">
        <v>2</v>
      </c>
      <c r="I184">
        <v>3</v>
      </c>
      <c r="J184">
        <v>2</v>
      </c>
      <c r="K184" t="s">
        <v>67</v>
      </c>
      <c r="L184">
        <v>24</v>
      </c>
      <c r="M184">
        <v>3005212</v>
      </c>
      <c r="N184">
        <v>11</v>
      </c>
      <c r="O184">
        <v>13</v>
      </c>
      <c r="P184">
        <v>98</v>
      </c>
      <c r="Q184" t="str">
        <f t="shared" si="3"/>
        <v>23a91a61a2@aect.dummy.in</v>
      </c>
    </row>
    <row r="185" spans="1:17" ht="14.4" x14ac:dyDescent="0.3">
      <c r="A185" t="s">
        <v>237</v>
      </c>
      <c r="B185" t="s">
        <v>220</v>
      </c>
      <c r="C185" t="s">
        <v>19</v>
      </c>
      <c r="D185">
        <v>1</v>
      </c>
      <c r="E185">
        <v>3</v>
      </c>
      <c r="F185">
        <v>0</v>
      </c>
      <c r="G185">
        <v>0</v>
      </c>
      <c r="H185">
        <v>2</v>
      </c>
      <c r="I185">
        <v>4</v>
      </c>
      <c r="J185">
        <v>2</v>
      </c>
      <c r="K185" t="s">
        <v>67</v>
      </c>
      <c r="L185">
        <v>83</v>
      </c>
      <c r="M185">
        <v>1392066</v>
      </c>
      <c r="N185">
        <v>19</v>
      </c>
      <c r="O185">
        <v>23</v>
      </c>
      <c r="P185">
        <v>146</v>
      </c>
      <c r="Q185" t="str">
        <f t="shared" si="3"/>
        <v>23a91a61a9@aect.dummy.in</v>
      </c>
    </row>
    <row r="186" spans="1:17" ht="14.4" x14ac:dyDescent="0.3">
      <c r="A186" t="s">
        <v>238</v>
      </c>
      <c r="B186" t="s">
        <v>220</v>
      </c>
      <c r="C186" t="s">
        <v>19</v>
      </c>
      <c r="D186">
        <v>3</v>
      </c>
      <c r="E186">
        <v>0</v>
      </c>
      <c r="F186">
        <v>1</v>
      </c>
      <c r="G186">
        <v>2</v>
      </c>
      <c r="H186">
        <v>4</v>
      </c>
      <c r="I186">
        <v>5</v>
      </c>
      <c r="J186">
        <v>1</v>
      </c>
      <c r="K186" t="s">
        <v>71</v>
      </c>
      <c r="L186">
        <v>137</v>
      </c>
      <c r="M186">
        <v>912090</v>
      </c>
      <c r="N186">
        <v>74</v>
      </c>
      <c r="O186">
        <v>216</v>
      </c>
      <c r="P186">
        <v>342</v>
      </c>
      <c r="Q186" t="str">
        <f t="shared" ref="Q186:Q249" si="4">LOWER(A186) &amp;"@aect.dummy.in"</f>
        <v>23a91a61b3@aect.dummy.in</v>
      </c>
    </row>
    <row r="187" spans="1:17" ht="14.4" x14ac:dyDescent="0.3">
      <c r="A187" t="s">
        <v>239</v>
      </c>
      <c r="B187" t="s">
        <v>220</v>
      </c>
      <c r="C187" t="s">
        <v>19</v>
      </c>
      <c r="D187">
        <v>3</v>
      </c>
      <c r="E187">
        <v>0</v>
      </c>
      <c r="F187">
        <v>0</v>
      </c>
      <c r="G187">
        <v>0</v>
      </c>
      <c r="H187">
        <v>3</v>
      </c>
      <c r="I187">
        <v>2</v>
      </c>
      <c r="J187">
        <v>1</v>
      </c>
      <c r="K187" t="s">
        <v>71</v>
      </c>
      <c r="L187">
        <v>36</v>
      </c>
      <c r="M187">
        <v>2415775</v>
      </c>
      <c r="N187">
        <v>2</v>
      </c>
      <c r="O187">
        <v>6</v>
      </c>
      <c r="P187">
        <v>32</v>
      </c>
      <c r="Q187" t="str">
        <f t="shared" si="4"/>
        <v>23a91a61b4@aect.dummy.in</v>
      </c>
    </row>
    <row r="188" spans="1:17" ht="14.4" x14ac:dyDescent="0.3">
      <c r="A188" t="s">
        <v>240</v>
      </c>
      <c r="B188" t="s">
        <v>220</v>
      </c>
      <c r="C188" t="s">
        <v>36</v>
      </c>
      <c r="D188">
        <v>2</v>
      </c>
      <c r="E188">
        <v>0</v>
      </c>
      <c r="F188">
        <v>0</v>
      </c>
      <c r="G188">
        <v>0</v>
      </c>
      <c r="H188">
        <v>3</v>
      </c>
      <c r="I188">
        <v>3</v>
      </c>
      <c r="J188">
        <v>1</v>
      </c>
      <c r="K188" t="s">
        <v>71</v>
      </c>
      <c r="L188">
        <v>52</v>
      </c>
      <c r="M188">
        <v>1926559</v>
      </c>
      <c r="N188">
        <v>58</v>
      </c>
      <c r="O188">
        <v>176</v>
      </c>
      <c r="P188">
        <v>92</v>
      </c>
      <c r="Q188" t="str">
        <f t="shared" si="4"/>
        <v>23a91a61b7@aect.dummy.in</v>
      </c>
    </row>
    <row r="189" spans="1:17" ht="14.4" x14ac:dyDescent="0.3">
      <c r="A189" t="s">
        <v>241</v>
      </c>
      <c r="B189" t="s">
        <v>220</v>
      </c>
      <c r="C189" t="s">
        <v>36</v>
      </c>
      <c r="D189">
        <v>1</v>
      </c>
      <c r="E189">
        <v>0</v>
      </c>
      <c r="F189">
        <v>0</v>
      </c>
      <c r="G189">
        <v>1</v>
      </c>
      <c r="H189">
        <v>2</v>
      </c>
      <c r="I189">
        <v>4</v>
      </c>
      <c r="J189">
        <v>1</v>
      </c>
      <c r="K189" t="s">
        <v>71</v>
      </c>
      <c r="L189">
        <v>15</v>
      </c>
      <c r="M189">
        <v>3763145</v>
      </c>
      <c r="N189">
        <v>0</v>
      </c>
      <c r="O189">
        <v>0</v>
      </c>
      <c r="P189">
        <v>287</v>
      </c>
      <c r="Q189" t="str">
        <f t="shared" si="4"/>
        <v>23a91a61c0@aect.dummy.in</v>
      </c>
    </row>
    <row r="190" spans="1:17" ht="14.4" x14ac:dyDescent="0.3">
      <c r="A190" t="s">
        <v>242</v>
      </c>
      <c r="B190" t="s">
        <v>220</v>
      </c>
      <c r="C190" t="s">
        <v>36</v>
      </c>
      <c r="D190">
        <v>3</v>
      </c>
      <c r="E190">
        <v>0</v>
      </c>
      <c r="F190">
        <v>0</v>
      </c>
      <c r="G190">
        <v>2</v>
      </c>
      <c r="H190">
        <v>4</v>
      </c>
      <c r="I190">
        <v>4</v>
      </c>
      <c r="J190">
        <v>1</v>
      </c>
      <c r="K190" t="s">
        <v>71</v>
      </c>
      <c r="L190">
        <v>81</v>
      </c>
      <c r="M190">
        <v>1417386</v>
      </c>
      <c r="N190">
        <v>10</v>
      </c>
      <c r="O190">
        <v>18</v>
      </c>
      <c r="P190">
        <v>270</v>
      </c>
      <c r="Q190" t="str">
        <f t="shared" si="4"/>
        <v>23a91a61c2@aect.dummy.in</v>
      </c>
    </row>
    <row r="191" spans="1:17" ht="14.4" x14ac:dyDescent="0.3">
      <c r="A191" t="s">
        <v>243</v>
      </c>
      <c r="B191" t="s">
        <v>220</v>
      </c>
      <c r="C191" t="s">
        <v>36</v>
      </c>
      <c r="D191">
        <v>5</v>
      </c>
      <c r="E191">
        <v>0</v>
      </c>
      <c r="F191">
        <v>0</v>
      </c>
      <c r="G191">
        <v>0</v>
      </c>
      <c r="H191">
        <v>3</v>
      </c>
      <c r="I191">
        <v>3</v>
      </c>
      <c r="J191">
        <v>1</v>
      </c>
      <c r="K191" t="s">
        <v>71</v>
      </c>
      <c r="L191">
        <v>249</v>
      </c>
      <c r="M191">
        <v>464531</v>
      </c>
      <c r="N191">
        <v>113</v>
      </c>
      <c r="O191">
        <v>303</v>
      </c>
      <c r="P191">
        <v>203</v>
      </c>
      <c r="Q191" t="str">
        <f t="shared" si="4"/>
        <v>23a91a61c5@aect.dummy.in</v>
      </c>
    </row>
    <row r="192" spans="1:17" ht="14.4" x14ac:dyDescent="0.3">
      <c r="A192" t="s">
        <v>244</v>
      </c>
      <c r="B192" t="s">
        <v>220</v>
      </c>
      <c r="C192" t="s">
        <v>36</v>
      </c>
      <c r="D192">
        <v>4</v>
      </c>
      <c r="E192">
        <v>0</v>
      </c>
      <c r="F192">
        <v>0</v>
      </c>
      <c r="G192">
        <v>4</v>
      </c>
      <c r="H192">
        <v>4</v>
      </c>
      <c r="I192">
        <v>4</v>
      </c>
      <c r="J192">
        <v>2</v>
      </c>
      <c r="K192" t="s">
        <v>67</v>
      </c>
      <c r="L192">
        <v>96</v>
      </c>
      <c r="M192">
        <v>1245603</v>
      </c>
      <c r="N192">
        <v>15</v>
      </c>
      <c r="O192">
        <v>26</v>
      </c>
      <c r="P192">
        <v>366</v>
      </c>
      <c r="Q192" t="str">
        <f t="shared" si="4"/>
        <v>23a91a61c7@aect.dummy.in</v>
      </c>
    </row>
    <row r="193" spans="1:17" ht="14.4" x14ac:dyDescent="0.3">
      <c r="A193" t="s">
        <v>245</v>
      </c>
      <c r="B193" t="s">
        <v>220</v>
      </c>
      <c r="C193" t="s">
        <v>36</v>
      </c>
      <c r="D193">
        <v>0</v>
      </c>
      <c r="E193">
        <v>0</v>
      </c>
      <c r="F193">
        <v>0</v>
      </c>
      <c r="G193">
        <v>0</v>
      </c>
      <c r="H193">
        <v>3</v>
      </c>
      <c r="I193">
        <v>1</v>
      </c>
      <c r="J193">
        <v>1</v>
      </c>
      <c r="K193" t="s">
        <v>71</v>
      </c>
      <c r="L193">
        <v>11</v>
      </c>
      <c r="M193">
        <v>4328995</v>
      </c>
      <c r="N193">
        <v>0</v>
      </c>
      <c r="O193">
        <v>0</v>
      </c>
      <c r="P193">
        <v>293</v>
      </c>
      <c r="Q193" t="str">
        <f t="shared" si="4"/>
        <v>23a91a61c8@aect.dummy.in</v>
      </c>
    </row>
    <row r="194" spans="1:17" ht="14.4" x14ac:dyDescent="0.3">
      <c r="A194" t="s">
        <v>246</v>
      </c>
      <c r="B194" t="s">
        <v>220</v>
      </c>
      <c r="C194" t="s">
        <v>36</v>
      </c>
      <c r="D194">
        <v>3</v>
      </c>
      <c r="E194">
        <v>0</v>
      </c>
      <c r="F194">
        <v>1</v>
      </c>
      <c r="G194">
        <v>2</v>
      </c>
      <c r="H194">
        <v>5</v>
      </c>
      <c r="I194">
        <v>5</v>
      </c>
      <c r="J194">
        <v>1</v>
      </c>
      <c r="K194" t="s">
        <v>247</v>
      </c>
      <c r="L194">
        <v>55</v>
      </c>
      <c r="M194">
        <v>1857942</v>
      </c>
      <c r="N194">
        <v>3</v>
      </c>
      <c r="O194">
        <v>4</v>
      </c>
      <c r="P194">
        <v>0</v>
      </c>
      <c r="Q194" t="str">
        <f t="shared" si="4"/>
        <v>23a91a61d8@aect.dummy.in</v>
      </c>
    </row>
    <row r="195" spans="1:17" ht="14.4" x14ac:dyDescent="0.3">
      <c r="A195" t="s">
        <v>248</v>
      </c>
      <c r="B195" t="s">
        <v>220</v>
      </c>
      <c r="C195" t="s">
        <v>36</v>
      </c>
      <c r="D195">
        <v>2</v>
      </c>
      <c r="E195">
        <v>0</v>
      </c>
      <c r="F195">
        <v>0</v>
      </c>
      <c r="G195">
        <v>0</v>
      </c>
      <c r="H195">
        <v>5</v>
      </c>
      <c r="I195">
        <v>3</v>
      </c>
      <c r="J195">
        <v>1</v>
      </c>
      <c r="K195" t="s">
        <v>71</v>
      </c>
      <c r="L195">
        <v>36</v>
      </c>
      <c r="M195">
        <v>2416563</v>
      </c>
      <c r="N195">
        <v>1</v>
      </c>
      <c r="O195">
        <v>4</v>
      </c>
      <c r="P195">
        <v>238</v>
      </c>
      <c r="Q195" t="str">
        <f t="shared" si="4"/>
        <v>23a91a61e2@aect.dummy.in</v>
      </c>
    </row>
    <row r="196" spans="1:17" ht="14.4" x14ac:dyDescent="0.3">
      <c r="A196" t="s">
        <v>249</v>
      </c>
      <c r="B196" t="s">
        <v>220</v>
      </c>
      <c r="C196" t="s">
        <v>36</v>
      </c>
      <c r="D196">
        <v>2</v>
      </c>
      <c r="E196">
        <v>0</v>
      </c>
      <c r="F196">
        <v>0</v>
      </c>
      <c r="G196">
        <v>2</v>
      </c>
      <c r="H196">
        <v>4</v>
      </c>
      <c r="I196">
        <v>3</v>
      </c>
      <c r="J196">
        <v>2</v>
      </c>
      <c r="K196" t="s">
        <v>67</v>
      </c>
      <c r="L196">
        <v>30</v>
      </c>
      <c r="M196">
        <v>2673309</v>
      </c>
      <c r="N196">
        <v>0</v>
      </c>
      <c r="O196">
        <v>0</v>
      </c>
      <c r="P196">
        <v>100</v>
      </c>
      <c r="Q196" t="str">
        <f t="shared" si="4"/>
        <v>23a91a61e4@aect.dummy.in</v>
      </c>
    </row>
    <row r="197" spans="1:17" ht="14.4" x14ac:dyDescent="0.3">
      <c r="A197" t="s">
        <v>250</v>
      </c>
      <c r="B197" t="s">
        <v>220</v>
      </c>
      <c r="C197" t="s">
        <v>36</v>
      </c>
      <c r="D197">
        <v>4</v>
      </c>
      <c r="E197">
        <v>0</v>
      </c>
      <c r="F197">
        <v>1</v>
      </c>
      <c r="G197">
        <v>1</v>
      </c>
      <c r="H197">
        <v>4</v>
      </c>
      <c r="I197">
        <v>5</v>
      </c>
      <c r="J197">
        <v>1</v>
      </c>
      <c r="K197" t="s">
        <v>71</v>
      </c>
      <c r="L197">
        <v>293</v>
      </c>
      <c r="M197">
        <v>370985</v>
      </c>
      <c r="N197">
        <v>0</v>
      </c>
      <c r="O197">
        <v>0</v>
      </c>
      <c r="P197">
        <v>31</v>
      </c>
      <c r="Q197" t="str">
        <f t="shared" si="4"/>
        <v>23a91a61e9@aect.dummy.in</v>
      </c>
    </row>
    <row r="198" spans="1:17" ht="14.4" x14ac:dyDescent="0.3">
      <c r="A198" t="s">
        <v>251</v>
      </c>
      <c r="B198" t="s">
        <v>220</v>
      </c>
      <c r="C198" t="s">
        <v>36</v>
      </c>
      <c r="D198">
        <v>5</v>
      </c>
      <c r="E198">
        <v>0</v>
      </c>
      <c r="F198">
        <v>5</v>
      </c>
      <c r="G198">
        <v>0</v>
      </c>
      <c r="H198">
        <v>0</v>
      </c>
      <c r="I198">
        <v>2</v>
      </c>
      <c r="J198">
        <v>0</v>
      </c>
      <c r="K198" t="s">
        <v>20</v>
      </c>
      <c r="L198">
        <v>0</v>
      </c>
      <c r="M198">
        <v>5000001</v>
      </c>
      <c r="N198">
        <v>4</v>
      </c>
      <c r="O198">
        <v>5</v>
      </c>
      <c r="P198">
        <v>0</v>
      </c>
      <c r="Q198" t="str">
        <f t="shared" si="4"/>
        <v>23a91a61f2@aect.dummy.in</v>
      </c>
    </row>
    <row r="199" spans="1:17" ht="14.4" x14ac:dyDescent="0.3">
      <c r="A199" t="s">
        <v>252</v>
      </c>
      <c r="B199" t="s">
        <v>220</v>
      </c>
      <c r="C199" t="s">
        <v>36</v>
      </c>
      <c r="D199">
        <v>2</v>
      </c>
      <c r="E199">
        <v>0</v>
      </c>
      <c r="F199">
        <v>0</v>
      </c>
      <c r="G199">
        <v>0</v>
      </c>
      <c r="H199">
        <v>3</v>
      </c>
      <c r="I199">
        <v>3</v>
      </c>
      <c r="J199">
        <v>1</v>
      </c>
      <c r="K199" t="s">
        <v>71</v>
      </c>
      <c r="L199">
        <v>139</v>
      </c>
      <c r="M199">
        <v>899480</v>
      </c>
      <c r="N199">
        <v>0</v>
      </c>
      <c r="O199">
        <v>0</v>
      </c>
      <c r="P199">
        <v>785</v>
      </c>
      <c r="Q199" t="str">
        <f t="shared" si="4"/>
        <v>23a91a61f7@aect.dummy.in</v>
      </c>
    </row>
    <row r="200" spans="1:17" ht="14.4" x14ac:dyDescent="0.3">
      <c r="A200" t="s">
        <v>253</v>
      </c>
      <c r="B200" t="s">
        <v>220</v>
      </c>
      <c r="C200" t="s">
        <v>36</v>
      </c>
      <c r="D200">
        <v>5</v>
      </c>
      <c r="E200">
        <v>0</v>
      </c>
      <c r="F200">
        <v>3</v>
      </c>
      <c r="G200">
        <v>3</v>
      </c>
      <c r="H200">
        <v>5</v>
      </c>
      <c r="I200">
        <v>4</v>
      </c>
      <c r="J200">
        <v>3</v>
      </c>
      <c r="K200" t="s">
        <v>254</v>
      </c>
      <c r="L200">
        <v>101</v>
      </c>
      <c r="M200">
        <v>1196890</v>
      </c>
      <c r="N200">
        <v>0</v>
      </c>
      <c r="O200">
        <v>0</v>
      </c>
      <c r="P200">
        <v>243</v>
      </c>
      <c r="Q200" t="str">
        <f t="shared" si="4"/>
        <v>23a91a61g7@aect.dummy.in</v>
      </c>
    </row>
    <row r="201" spans="1:17" ht="14.4" x14ac:dyDescent="0.3">
      <c r="A201" t="s">
        <v>255</v>
      </c>
      <c r="B201" t="s">
        <v>220</v>
      </c>
      <c r="C201" t="s">
        <v>36</v>
      </c>
      <c r="D201">
        <v>3</v>
      </c>
      <c r="E201">
        <v>1</v>
      </c>
      <c r="F201">
        <v>2</v>
      </c>
      <c r="G201">
        <v>3</v>
      </c>
      <c r="H201">
        <v>4</v>
      </c>
      <c r="I201">
        <v>6</v>
      </c>
      <c r="J201">
        <v>1</v>
      </c>
      <c r="K201" t="s">
        <v>71</v>
      </c>
      <c r="L201">
        <v>345</v>
      </c>
      <c r="M201">
        <v>288806</v>
      </c>
      <c r="N201">
        <v>126</v>
      </c>
      <c r="O201">
        <v>320</v>
      </c>
      <c r="P201">
        <v>384</v>
      </c>
      <c r="Q201" t="str">
        <f t="shared" si="4"/>
        <v>23a91a61g9@aect.dummy.in</v>
      </c>
    </row>
    <row r="202" spans="1:17" ht="14.4" x14ac:dyDescent="0.3">
      <c r="A202" t="s">
        <v>256</v>
      </c>
      <c r="B202" t="s">
        <v>220</v>
      </c>
      <c r="C202" t="s">
        <v>36</v>
      </c>
      <c r="D202">
        <v>0</v>
      </c>
      <c r="E202">
        <v>0</v>
      </c>
      <c r="F202">
        <v>0</v>
      </c>
      <c r="G202">
        <v>0</v>
      </c>
      <c r="H202">
        <v>0</v>
      </c>
      <c r="I202">
        <v>0</v>
      </c>
      <c r="J202">
        <v>0</v>
      </c>
      <c r="K202" t="s">
        <v>20</v>
      </c>
      <c r="L202">
        <v>302</v>
      </c>
      <c r="M202">
        <v>355226</v>
      </c>
      <c r="N202">
        <v>0</v>
      </c>
      <c r="O202">
        <v>0</v>
      </c>
      <c r="P202">
        <v>218</v>
      </c>
      <c r="Q202" t="str">
        <f t="shared" si="4"/>
        <v>23a91a61h5@aect.dummy.in</v>
      </c>
    </row>
    <row r="203" spans="1:17" ht="14.4" x14ac:dyDescent="0.3">
      <c r="A203" t="s">
        <v>257</v>
      </c>
      <c r="B203" t="s">
        <v>220</v>
      </c>
      <c r="C203" t="s">
        <v>36</v>
      </c>
      <c r="D203">
        <v>4</v>
      </c>
      <c r="E203">
        <v>1</v>
      </c>
      <c r="F203">
        <v>1</v>
      </c>
      <c r="G203">
        <v>2</v>
      </c>
      <c r="H203">
        <v>4</v>
      </c>
      <c r="I203">
        <v>6</v>
      </c>
      <c r="J203">
        <v>2</v>
      </c>
      <c r="K203" t="s">
        <v>67</v>
      </c>
      <c r="L203">
        <v>91</v>
      </c>
      <c r="M203">
        <v>1299134</v>
      </c>
      <c r="N203">
        <v>42</v>
      </c>
      <c r="O203">
        <v>75</v>
      </c>
      <c r="P203">
        <v>457</v>
      </c>
      <c r="Q203" t="str">
        <f t="shared" si="4"/>
        <v>23a91a61i6@aect.dummy.in</v>
      </c>
    </row>
    <row r="204" spans="1:17" ht="14.4" x14ac:dyDescent="0.3">
      <c r="A204" t="s">
        <v>258</v>
      </c>
      <c r="B204" t="s">
        <v>220</v>
      </c>
      <c r="C204" t="s">
        <v>36</v>
      </c>
      <c r="D204">
        <v>1</v>
      </c>
      <c r="E204">
        <v>0</v>
      </c>
      <c r="F204">
        <v>0</v>
      </c>
      <c r="G204">
        <v>2</v>
      </c>
      <c r="H204">
        <v>3</v>
      </c>
      <c r="I204">
        <v>4</v>
      </c>
      <c r="J204">
        <v>1</v>
      </c>
      <c r="K204" t="s">
        <v>71</v>
      </c>
      <c r="L204">
        <v>12</v>
      </c>
      <c r="M204">
        <v>4146508</v>
      </c>
      <c r="N204">
        <v>0</v>
      </c>
      <c r="O204">
        <v>0</v>
      </c>
      <c r="P204">
        <v>352</v>
      </c>
      <c r="Q204" t="str">
        <f t="shared" si="4"/>
        <v>23a91a61j3@aect.dummy.in</v>
      </c>
    </row>
    <row r="205" spans="1:17" ht="14.4" x14ac:dyDescent="0.3">
      <c r="A205" t="s">
        <v>259</v>
      </c>
      <c r="B205" t="s">
        <v>220</v>
      </c>
      <c r="C205" t="s">
        <v>36</v>
      </c>
      <c r="D205">
        <v>4</v>
      </c>
      <c r="E205">
        <v>0</v>
      </c>
      <c r="F205">
        <v>0</v>
      </c>
      <c r="G205">
        <v>0</v>
      </c>
      <c r="H205">
        <v>0</v>
      </c>
      <c r="I205">
        <v>2</v>
      </c>
      <c r="J205">
        <v>1</v>
      </c>
      <c r="K205" t="s">
        <v>71</v>
      </c>
      <c r="L205">
        <v>27</v>
      </c>
      <c r="M205">
        <v>2826473</v>
      </c>
      <c r="N205">
        <v>10</v>
      </c>
      <c r="O205">
        <v>10</v>
      </c>
      <c r="P205">
        <v>294</v>
      </c>
      <c r="Q205" t="str">
        <f t="shared" si="4"/>
        <v>23a91a61j5@aect.dummy.in</v>
      </c>
    </row>
    <row r="206" spans="1:17" ht="14.4" x14ac:dyDescent="0.3">
      <c r="A206" t="s">
        <v>260</v>
      </c>
      <c r="B206" t="s">
        <v>220</v>
      </c>
      <c r="C206" t="s">
        <v>36</v>
      </c>
      <c r="D206">
        <v>5</v>
      </c>
      <c r="E206">
        <v>0</v>
      </c>
      <c r="F206">
        <v>5</v>
      </c>
      <c r="G206">
        <v>2</v>
      </c>
      <c r="H206">
        <v>0</v>
      </c>
      <c r="I206">
        <v>3</v>
      </c>
      <c r="J206">
        <v>0</v>
      </c>
      <c r="K206" t="s">
        <v>20</v>
      </c>
      <c r="L206">
        <v>15</v>
      </c>
      <c r="M206">
        <v>3769512</v>
      </c>
      <c r="N206">
        <v>0</v>
      </c>
      <c r="O206">
        <v>0</v>
      </c>
      <c r="P206">
        <v>3</v>
      </c>
      <c r="Q206" t="str">
        <f t="shared" si="4"/>
        <v>23a91a61j6@aect.dummy.in</v>
      </c>
    </row>
    <row r="207" spans="1:17" ht="14.4" x14ac:dyDescent="0.3">
      <c r="A207" t="s">
        <v>261</v>
      </c>
      <c r="B207" t="s">
        <v>220</v>
      </c>
      <c r="C207" t="s">
        <v>36</v>
      </c>
      <c r="D207">
        <v>0</v>
      </c>
      <c r="E207">
        <v>0</v>
      </c>
      <c r="F207">
        <v>0</v>
      </c>
      <c r="G207">
        <v>0</v>
      </c>
      <c r="H207">
        <v>0</v>
      </c>
      <c r="I207">
        <v>0</v>
      </c>
      <c r="J207">
        <v>0</v>
      </c>
      <c r="K207" t="s">
        <v>20</v>
      </c>
      <c r="L207">
        <v>0</v>
      </c>
      <c r="M207">
        <v>5000001</v>
      </c>
      <c r="N207">
        <v>0</v>
      </c>
      <c r="O207">
        <v>0</v>
      </c>
      <c r="P207">
        <v>0</v>
      </c>
      <c r="Q207" t="str">
        <f t="shared" si="4"/>
        <v>23mh1a0408@aect.dummy.in</v>
      </c>
    </row>
    <row r="208" spans="1:17" ht="14.4" x14ac:dyDescent="0.3">
      <c r="A208" t="s">
        <v>262</v>
      </c>
      <c r="B208" t="s">
        <v>220</v>
      </c>
      <c r="C208" t="s">
        <v>36</v>
      </c>
      <c r="D208">
        <v>3</v>
      </c>
      <c r="E208">
        <v>0</v>
      </c>
      <c r="F208">
        <v>0</v>
      </c>
      <c r="G208">
        <v>0</v>
      </c>
      <c r="H208">
        <v>0</v>
      </c>
      <c r="I208">
        <v>1</v>
      </c>
      <c r="J208">
        <v>0</v>
      </c>
      <c r="K208" t="s">
        <v>20</v>
      </c>
      <c r="L208">
        <v>0</v>
      </c>
      <c r="M208">
        <v>5000001</v>
      </c>
      <c r="N208">
        <v>0</v>
      </c>
      <c r="O208">
        <v>0</v>
      </c>
      <c r="P208">
        <v>36</v>
      </c>
      <c r="Q208" t="str">
        <f t="shared" si="4"/>
        <v>23mh1a0412@aect.dummy.in</v>
      </c>
    </row>
    <row r="209" spans="1:17" ht="14.4" x14ac:dyDescent="0.3">
      <c r="A209" t="s">
        <v>263</v>
      </c>
      <c r="B209" t="s">
        <v>220</v>
      </c>
      <c r="C209" t="s">
        <v>36</v>
      </c>
      <c r="D209">
        <v>0</v>
      </c>
      <c r="E209">
        <v>0</v>
      </c>
      <c r="F209">
        <v>0</v>
      </c>
      <c r="G209">
        <v>0</v>
      </c>
      <c r="H209">
        <v>0</v>
      </c>
      <c r="I209">
        <v>0</v>
      </c>
      <c r="J209">
        <v>0</v>
      </c>
      <c r="K209" t="s">
        <v>20</v>
      </c>
      <c r="L209">
        <v>0</v>
      </c>
      <c r="M209">
        <v>5000001</v>
      </c>
      <c r="N209">
        <v>0</v>
      </c>
      <c r="O209">
        <v>0</v>
      </c>
      <c r="P209">
        <v>17</v>
      </c>
      <c r="Q209" t="str">
        <f t="shared" si="4"/>
        <v>23mh1a0422@aect.dummy.in</v>
      </c>
    </row>
    <row r="210" spans="1:17" ht="14.4" x14ac:dyDescent="0.3">
      <c r="A210" t="s">
        <v>264</v>
      </c>
      <c r="B210" t="s">
        <v>220</v>
      </c>
      <c r="C210" t="s">
        <v>36</v>
      </c>
      <c r="D210">
        <v>0</v>
      </c>
      <c r="E210">
        <v>0</v>
      </c>
      <c r="F210">
        <v>0</v>
      </c>
      <c r="G210">
        <v>2</v>
      </c>
      <c r="H210">
        <v>0</v>
      </c>
      <c r="I210">
        <v>1</v>
      </c>
      <c r="J210">
        <v>0</v>
      </c>
      <c r="K210" t="s">
        <v>20</v>
      </c>
      <c r="L210">
        <v>30</v>
      </c>
      <c r="M210">
        <v>2783856</v>
      </c>
      <c r="N210">
        <v>45</v>
      </c>
      <c r="O210">
        <v>54</v>
      </c>
      <c r="P210">
        <v>203</v>
      </c>
      <c r="Q210" t="str">
        <f t="shared" si="4"/>
        <v>23mh1a0424@aect.dummy.in</v>
      </c>
    </row>
    <row r="211" spans="1:17" ht="14.4" x14ac:dyDescent="0.3">
      <c r="A211" t="s">
        <v>265</v>
      </c>
      <c r="B211" t="s">
        <v>220</v>
      </c>
      <c r="C211" t="s">
        <v>36</v>
      </c>
      <c r="D211">
        <v>0</v>
      </c>
      <c r="E211">
        <v>0</v>
      </c>
      <c r="F211">
        <v>0</v>
      </c>
      <c r="G211">
        <v>0</v>
      </c>
      <c r="H211">
        <v>0</v>
      </c>
      <c r="I211">
        <v>0</v>
      </c>
      <c r="J211">
        <v>0</v>
      </c>
      <c r="K211" t="s">
        <v>20</v>
      </c>
      <c r="L211">
        <v>0</v>
      </c>
      <c r="M211">
        <v>5000001</v>
      </c>
      <c r="N211">
        <v>0</v>
      </c>
      <c r="O211">
        <v>0</v>
      </c>
      <c r="P211">
        <v>0</v>
      </c>
      <c r="Q211" t="str">
        <f t="shared" si="4"/>
        <v>23mh1a0428@aect.dummy.in</v>
      </c>
    </row>
    <row r="212" spans="1:17" ht="14.4" x14ac:dyDescent="0.3">
      <c r="A212" t="s">
        <v>266</v>
      </c>
      <c r="B212" t="s">
        <v>220</v>
      </c>
      <c r="C212" t="s">
        <v>36</v>
      </c>
      <c r="D212">
        <v>0</v>
      </c>
      <c r="E212">
        <v>0</v>
      </c>
      <c r="F212">
        <v>0</v>
      </c>
      <c r="G212">
        <v>2</v>
      </c>
      <c r="H212">
        <v>0</v>
      </c>
      <c r="I212">
        <v>1</v>
      </c>
      <c r="J212">
        <v>0</v>
      </c>
      <c r="K212" t="s">
        <v>20</v>
      </c>
      <c r="L212">
        <v>0</v>
      </c>
      <c r="M212">
        <v>5000001</v>
      </c>
      <c r="N212">
        <v>0</v>
      </c>
      <c r="O212">
        <v>0</v>
      </c>
      <c r="P212">
        <v>74</v>
      </c>
      <c r="Q212" t="str">
        <f t="shared" si="4"/>
        <v>23mh1a0433@aect.dummy.in</v>
      </c>
    </row>
    <row r="213" spans="1:17" ht="14.4" x14ac:dyDescent="0.3">
      <c r="A213" t="s">
        <v>267</v>
      </c>
      <c r="B213" t="s">
        <v>220</v>
      </c>
      <c r="C213" t="s">
        <v>36</v>
      </c>
      <c r="D213">
        <v>0</v>
      </c>
      <c r="E213">
        <v>0</v>
      </c>
      <c r="F213">
        <v>0</v>
      </c>
      <c r="G213">
        <v>0</v>
      </c>
      <c r="H213">
        <v>0</v>
      </c>
      <c r="I213">
        <v>0</v>
      </c>
      <c r="J213">
        <v>0</v>
      </c>
      <c r="K213" t="s">
        <v>20</v>
      </c>
      <c r="L213">
        <v>0</v>
      </c>
      <c r="M213">
        <v>5000001</v>
      </c>
      <c r="N213">
        <v>0</v>
      </c>
      <c r="O213">
        <v>0</v>
      </c>
      <c r="P213">
        <v>21</v>
      </c>
      <c r="Q213" t="str">
        <f t="shared" si="4"/>
        <v>23mh1a0435@aect.dummy.in</v>
      </c>
    </row>
    <row r="214" spans="1:17" ht="14.4" x14ac:dyDescent="0.3">
      <c r="A214" t="s">
        <v>268</v>
      </c>
      <c r="B214" t="s">
        <v>220</v>
      </c>
      <c r="C214" t="s">
        <v>36</v>
      </c>
      <c r="D214">
        <v>0</v>
      </c>
      <c r="E214">
        <v>0</v>
      </c>
      <c r="F214">
        <v>0</v>
      </c>
      <c r="G214">
        <v>1</v>
      </c>
      <c r="H214">
        <v>0</v>
      </c>
      <c r="I214">
        <v>1</v>
      </c>
      <c r="J214">
        <v>0</v>
      </c>
      <c r="K214" t="s">
        <v>20</v>
      </c>
      <c r="L214">
        <v>21</v>
      </c>
      <c r="M214">
        <v>3214934</v>
      </c>
      <c r="N214">
        <v>2</v>
      </c>
      <c r="O214">
        <v>0</v>
      </c>
      <c r="P214">
        <v>70</v>
      </c>
      <c r="Q214" t="str">
        <f t="shared" si="4"/>
        <v>23mh1a0456@aect.dummy.in</v>
      </c>
    </row>
    <row r="215" spans="1:17" ht="14.4" x14ac:dyDescent="0.3">
      <c r="A215" t="s">
        <v>269</v>
      </c>
      <c r="B215" t="s">
        <v>220</v>
      </c>
      <c r="C215" t="s">
        <v>36</v>
      </c>
      <c r="D215">
        <v>0</v>
      </c>
      <c r="E215">
        <v>0</v>
      </c>
      <c r="F215">
        <v>0</v>
      </c>
      <c r="G215">
        <v>0</v>
      </c>
      <c r="H215">
        <v>0</v>
      </c>
      <c r="I215">
        <v>0</v>
      </c>
      <c r="J215">
        <v>0</v>
      </c>
      <c r="K215" t="s">
        <v>20</v>
      </c>
      <c r="L215">
        <v>0</v>
      </c>
      <c r="M215">
        <v>5000001</v>
      </c>
      <c r="N215">
        <v>0</v>
      </c>
      <c r="O215">
        <v>0</v>
      </c>
      <c r="P215">
        <v>57</v>
      </c>
      <c r="Q215" t="str">
        <f t="shared" si="4"/>
        <v>23mh1a0462@aect.dummy.in</v>
      </c>
    </row>
    <row r="216" spans="1:17" ht="14.4" x14ac:dyDescent="0.3">
      <c r="A216" t="s">
        <v>270</v>
      </c>
      <c r="B216" t="s">
        <v>220</v>
      </c>
      <c r="C216" t="s">
        <v>36</v>
      </c>
      <c r="D216">
        <v>0</v>
      </c>
      <c r="E216">
        <v>0</v>
      </c>
      <c r="F216">
        <v>0</v>
      </c>
      <c r="G216">
        <v>0</v>
      </c>
      <c r="H216">
        <v>0</v>
      </c>
      <c r="I216">
        <v>0</v>
      </c>
      <c r="J216">
        <v>0</v>
      </c>
      <c r="K216" t="s">
        <v>20</v>
      </c>
      <c r="L216">
        <v>0</v>
      </c>
      <c r="M216">
        <v>5000001</v>
      </c>
      <c r="N216">
        <v>0</v>
      </c>
      <c r="O216">
        <v>0</v>
      </c>
      <c r="P216">
        <v>10</v>
      </c>
      <c r="Q216" t="str">
        <f t="shared" si="4"/>
        <v>23mh1a0465@aect.dummy.in</v>
      </c>
    </row>
    <row r="217" spans="1:17" ht="14.4" x14ac:dyDescent="0.3">
      <c r="A217" t="s">
        <v>271</v>
      </c>
      <c r="B217" t="s">
        <v>220</v>
      </c>
      <c r="C217" t="s">
        <v>36</v>
      </c>
      <c r="D217">
        <v>0</v>
      </c>
      <c r="E217">
        <v>0</v>
      </c>
      <c r="F217">
        <v>0</v>
      </c>
      <c r="G217">
        <v>0</v>
      </c>
      <c r="H217">
        <v>0</v>
      </c>
      <c r="I217">
        <v>0</v>
      </c>
      <c r="J217">
        <v>0</v>
      </c>
      <c r="K217" t="s">
        <v>20</v>
      </c>
      <c r="L217">
        <v>0</v>
      </c>
      <c r="M217">
        <v>5000001</v>
      </c>
      <c r="N217">
        <v>0</v>
      </c>
      <c r="O217">
        <v>0</v>
      </c>
      <c r="P217">
        <v>255</v>
      </c>
      <c r="Q217" t="str">
        <f t="shared" si="4"/>
        <v>23mh1a0476@aect.dummy.in</v>
      </c>
    </row>
    <row r="218" spans="1:17" ht="14.4" x14ac:dyDescent="0.3">
      <c r="A218" t="s">
        <v>272</v>
      </c>
      <c r="B218" t="s">
        <v>220</v>
      </c>
      <c r="C218" t="s">
        <v>36</v>
      </c>
      <c r="D218">
        <v>3</v>
      </c>
      <c r="E218">
        <v>0</v>
      </c>
      <c r="F218">
        <v>0</v>
      </c>
      <c r="G218">
        <v>3</v>
      </c>
      <c r="H218">
        <v>0</v>
      </c>
      <c r="I218">
        <v>2</v>
      </c>
      <c r="J218">
        <v>1</v>
      </c>
      <c r="K218" t="s">
        <v>247</v>
      </c>
      <c r="L218">
        <v>22</v>
      </c>
      <c r="M218">
        <v>3153799</v>
      </c>
      <c r="N218">
        <v>4</v>
      </c>
      <c r="O218">
        <v>8</v>
      </c>
      <c r="P218">
        <v>200</v>
      </c>
      <c r="Q218" t="str">
        <f t="shared" si="4"/>
        <v>23mh1a0484@aect.dummy.in</v>
      </c>
    </row>
    <row r="219" spans="1:17" ht="14.4" x14ac:dyDescent="0.3">
      <c r="A219" t="s">
        <v>273</v>
      </c>
      <c r="B219" t="s">
        <v>220</v>
      </c>
      <c r="C219" t="s">
        <v>36</v>
      </c>
      <c r="D219">
        <v>0</v>
      </c>
      <c r="E219">
        <v>0</v>
      </c>
      <c r="F219">
        <v>0</v>
      </c>
      <c r="G219">
        <v>1</v>
      </c>
      <c r="H219">
        <v>0</v>
      </c>
      <c r="I219">
        <v>1</v>
      </c>
      <c r="J219">
        <v>0</v>
      </c>
      <c r="K219" t="s">
        <v>20</v>
      </c>
      <c r="L219">
        <v>0</v>
      </c>
      <c r="M219">
        <v>5000001</v>
      </c>
      <c r="N219">
        <v>0</v>
      </c>
      <c r="O219">
        <v>0</v>
      </c>
      <c r="P219">
        <v>447</v>
      </c>
      <c r="Q219" t="str">
        <f t="shared" si="4"/>
        <v>23mh1a04a0@aect.dummy.in</v>
      </c>
    </row>
    <row r="220" spans="1:17" ht="14.4" x14ac:dyDescent="0.3">
      <c r="A220" t="s">
        <v>274</v>
      </c>
      <c r="B220" t="s">
        <v>220</v>
      </c>
      <c r="C220" t="s">
        <v>36</v>
      </c>
      <c r="D220">
        <v>0</v>
      </c>
      <c r="E220">
        <v>0</v>
      </c>
      <c r="F220">
        <v>0</v>
      </c>
      <c r="G220">
        <v>0</v>
      </c>
      <c r="H220">
        <v>0</v>
      </c>
      <c r="I220">
        <v>0</v>
      </c>
      <c r="J220">
        <v>0</v>
      </c>
      <c r="K220" t="s">
        <v>20</v>
      </c>
      <c r="L220">
        <v>0</v>
      </c>
      <c r="M220">
        <v>5000001</v>
      </c>
      <c r="N220">
        <v>0</v>
      </c>
      <c r="O220">
        <v>0</v>
      </c>
      <c r="P220">
        <v>138</v>
      </c>
      <c r="Q220" t="str">
        <f t="shared" si="4"/>
        <v>23mh1a04g2@aect.dummy.in</v>
      </c>
    </row>
    <row r="221" spans="1:17" ht="14.4" x14ac:dyDescent="0.3">
      <c r="A221" t="s">
        <v>275</v>
      </c>
      <c r="B221" t="s">
        <v>220</v>
      </c>
      <c r="C221" t="s">
        <v>36</v>
      </c>
      <c r="D221">
        <v>0</v>
      </c>
      <c r="E221">
        <v>0</v>
      </c>
      <c r="F221">
        <v>0</v>
      </c>
      <c r="G221">
        <v>0</v>
      </c>
      <c r="H221">
        <v>0</v>
      </c>
      <c r="I221">
        <v>0</v>
      </c>
      <c r="J221">
        <v>0</v>
      </c>
      <c r="K221" t="s">
        <v>20</v>
      </c>
      <c r="L221">
        <v>0</v>
      </c>
      <c r="M221">
        <v>5000001</v>
      </c>
      <c r="N221">
        <v>0</v>
      </c>
      <c r="O221">
        <v>0</v>
      </c>
      <c r="P221">
        <v>167</v>
      </c>
      <c r="Q221" t="str">
        <f t="shared" si="4"/>
        <v>23mh1a04h9@aect.dummy.in</v>
      </c>
    </row>
    <row r="222" spans="1:17" ht="14.4" x14ac:dyDescent="0.3">
      <c r="A222" t="s">
        <v>276</v>
      </c>
      <c r="B222" t="s">
        <v>220</v>
      </c>
      <c r="C222" t="s">
        <v>36</v>
      </c>
      <c r="D222">
        <v>0</v>
      </c>
      <c r="E222">
        <v>0</v>
      </c>
      <c r="F222">
        <v>0</v>
      </c>
      <c r="G222">
        <v>0</v>
      </c>
      <c r="H222">
        <v>0</v>
      </c>
      <c r="I222">
        <v>0</v>
      </c>
      <c r="J222">
        <v>0</v>
      </c>
      <c r="K222" t="s">
        <v>20</v>
      </c>
      <c r="L222">
        <v>0</v>
      </c>
      <c r="M222">
        <v>5000001</v>
      </c>
      <c r="N222">
        <v>0</v>
      </c>
      <c r="O222">
        <v>0</v>
      </c>
      <c r="P222">
        <v>0</v>
      </c>
      <c r="Q222" t="str">
        <f t="shared" si="4"/>
        <v>23mh1a0510@aect.dummy.in</v>
      </c>
    </row>
    <row r="223" spans="1:17" ht="14.4" x14ac:dyDescent="0.3">
      <c r="A223" t="s">
        <v>277</v>
      </c>
      <c r="B223" t="s">
        <v>220</v>
      </c>
      <c r="C223" t="s">
        <v>36</v>
      </c>
      <c r="D223">
        <v>0</v>
      </c>
      <c r="E223">
        <v>0</v>
      </c>
      <c r="F223">
        <v>0</v>
      </c>
      <c r="G223">
        <v>0</v>
      </c>
      <c r="H223">
        <v>0</v>
      </c>
      <c r="I223">
        <v>0</v>
      </c>
      <c r="J223">
        <v>0</v>
      </c>
      <c r="K223" t="s">
        <v>20</v>
      </c>
      <c r="L223">
        <v>0</v>
      </c>
      <c r="M223">
        <v>5000001</v>
      </c>
      <c r="N223">
        <v>2</v>
      </c>
      <c r="O223">
        <v>2</v>
      </c>
      <c r="P223">
        <v>127</v>
      </c>
      <c r="Q223" t="str">
        <f t="shared" si="4"/>
        <v>23mh1a0524@aect.dummy.in</v>
      </c>
    </row>
    <row r="224" spans="1:17" ht="14.4" x14ac:dyDescent="0.3">
      <c r="A224" t="s">
        <v>278</v>
      </c>
      <c r="B224" t="s">
        <v>220</v>
      </c>
      <c r="C224" t="s">
        <v>36</v>
      </c>
      <c r="D224">
        <v>0</v>
      </c>
      <c r="E224">
        <v>0</v>
      </c>
      <c r="F224">
        <v>0</v>
      </c>
      <c r="G224">
        <v>0</v>
      </c>
      <c r="H224">
        <v>0</v>
      </c>
      <c r="I224">
        <v>0</v>
      </c>
      <c r="J224">
        <v>0</v>
      </c>
      <c r="K224" t="s">
        <v>20</v>
      </c>
      <c r="L224">
        <v>0</v>
      </c>
      <c r="M224">
        <v>5000001</v>
      </c>
      <c r="N224">
        <v>0</v>
      </c>
      <c r="O224">
        <v>0</v>
      </c>
      <c r="P224">
        <v>29</v>
      </c>
      <c r="Q224" t="str">
        <f t="shared" si="4"/>
        <v>23mh1a0525@aect.dummy.in</v>
      </c>
    </row>
    <row r="225" spans="1:17" ht="14.4" x14ac:dyDescent="0.3">
      <c r="A225" t="s">
        <v>279</v>
      </c>
      <c r="B225" t="s">
        <v>220</v>
      </c>
      <c r="C225" t="s">
        <v>36</v>
      </c>
      <c r="D225">
        <v>0</v>
      </c>
      <c r="E225">
        <v>1</v>
      </c>
      <c r="F225">
        <v>0</v>
      </c>
      <c r="G225">
        <v>0</v>
      </c>
      <c r="H225">
        <v>0</v>
      </c>
      <c r="I225">
        <v>1</v>
      </c>
      <c r="J225">
        <v>0</v>
      </c>
      <c r="K225" t="s">
        <v>20</v>
      </c>
      <c r="L225">
        <v>1</v>
      </c>
      <c r="M225">
        <v>5000001</v>
      </c>
      <c r="N225">
        <v>4</v>
      </c>
      <c r="O225">
        <v>10</v>
      </c>
      <c r="P225">
        <v>23</v>
      </c>
      <c r="Q225" t="str">
        <f t="shared" si="4"/>
        <v>23mh1a0549@aect.dummy.in</v>
      </c>
    </row>
    <row r="226" spans="1:17" ht="14.4" x14ac:dyDescent="0.3">
      <c r="A226" t="s">
        <v>280</v>
      </c>
      <c r="B226" t="s">
        <v>220</v>
      </c>
      <c r="C226" t="s">
        <v>36</v>
      </c>
      <c r="D226">
        <v>0</v>
      </c>
      <c r="E226">
        <v>0</v>
      </c>
      <c r="F226">
        <v>1</v>
      </c>
      <c r="G226">
        <v>1</v>
      </c>
      <c r="H226">
        <v>0</v>
      </c>
      <c r="I226">
        <v>2</v>
      </c>
      <c r="J226">
        <v>0</v>
      </c>
      <c r="K226" t="s">
        <v>20</v>
      </c>
      <c r="L226">
        <v>0</v>
      </c>
      <c r="M226">
        <v>5000001</v>
      </c>
      <c r="N226">
        <v>0</v>
      </c>
      <c r="O226">
        <v>0</v>
      </c>
      <c r="P226">
        <v>32</v>
      </c>
      <c r="Q226" t="str">
        <f t="shared" si="4"/>
        <v>23mh1a0553@aect.dummy.in</v>
      </c>
    </row>
    <row r="227" spans="1:17" ht="14.4" x14ac:dyDescent="0.3">
      <c r="A227" t="s">
        <v>281</v>
      </c>
      <c r="B227" t="s">
        <v>220</v>
      </c>
      <c r="C227" t="s">
        <v>36</v>
      </c>
      <c r="D227">
        <v>0</v>
      </c>
      <c r="E227">
        <v>0</v>
      </c>
      <c r="F227">
        <v>0</v>
      </c>
      <c r="G227">
        <v>0</v>
      </c>
      <c r="H227">
        <v>0</v>
      </c>
      <c r="I227">
        <v>0</v>
      </c>
      <c r="J227">
        <v>0</v>
      </c>
      <c r="K227" t="s">
        <v>20</v>
      </c>
      <c r="L227">
        <v>0</v>
      </c>
      <c r="M227">
        <v>5000001</v>
      </c>
      <c r="N227">
        <v>0</v>
      </c>
      <c r="O227">
        <v>0</v>
      </c>
      <c r="P227">
        <v>18</v>
      </c>
      <c r="Q227" t="str">
        <f t="shared" si="4"/>
        <v>23mh1a0571@aect.dummy.in</v>
      </c>
    </row>
    <row r="228" spans="1:17" ht="14.4" x14ac:dyDescent="0.3">
      <c r="A228" t="s">
        <v>282</v>
      </c>
      <c r="B228" t="s">
        <v>220</v>
      </c>
      <c r="C228" t="s">
        <v>36</v>
      </c>
      <c r="D228">
        <v>0</v>
      </c>
      <c r="E228">
        <v>0</v>
      </c>
      <c r="F228">
        <v>0</v>
      </c>
      <c r="G228">
        <v>0</v>
      </c>
      <c r="H228">
        <v>0</v>
      </c>
      <c r="I228">
        <v>0</v>
      </c>
      <c r="J228">
        <v>0</v>
      </c>
      <c r="K228" t="s">
        <v>20</v>
      </c>
      <c r="L228">
        <v>0</v>
      </c>
      <c r="M228">
        <v>5000001</v>
      </c>
      <c r="N228">
        <v>0</v>
      </c>
      <c r="O228">
        <v>0</v>
      </c>
      <c r="P228">
        <v>66</v>
      </c>
      <c r="Q228" t="str">
        <f t="shared" si="4"/>
        <v>23mh1a0585@aect.dummy.in</v>
      </c>
    </row>
    <row r="229" spans="1:17" ht="14.4" x14ac:dyDescent="0.3">
      <c r="A229" t="s">
        <v>283</v>
      </c>
      <c r="B229" t="s">
        <v>220</v>
      </c>
      <c r="C229" t="s">
        <v>36</v>
      </c>
      <c r="D229">
        <v>5</v>
      </c>
      <c r="E229">
        <v>0</v>
      </c>
      <c r="F229">
        <v>5</v>
      </c>
      <c r="G229">
        <v>5</v>
      </c>
      <c r="H229">
        <v>5</v>
      </c>
      <c r="I229">
        <v>4</v>
      </c>
      <c r="J229">
        <v>6</v>
      </c>
      <c r="K229" t="s">
        <v>284</v>
      </c>
      <c r="L229">
        <v>220</v>
      </c>
      <c r="M229">
        <v>544409</v>
      </c>
      <c r="N229">
        <v>193</v>
      </c>
      <c r="O229">
        <v>642</v>
      </c>
      <c r="P229">
        <v>444</v>
      </c>
      <c r="Q229" t="str">
        <f t="shared" si="4"/>
        <v>23mh1a0595@aect.dummy.in</v>
      </c>
    </row>
    <row r="230" spans="1:17" ht="14.4" x14ac:dyDescent="0.3">
      <c r="A230" t="s">
        <v>285</v>
      </c>
      <c r="B230" t="s">
        <v>220</v>
      </c>
      <c r="C230" t="s">
        <v>36</v>
      </c>
      <c r="D230">
        <v>0</v>
      </c>
      <c r="E230">
        <v>0</v>
      </c>
      <c r="F230">
        <v>0</v>
      </c>
      <c r="G230">
        <v>0</v>
      </c>
      <c r="H230">
        <v>0</v>
      </c>
      <c r="I230">
        <v>0</v>
      </c>
      <c r="J230">
        <v>0</v>
      </c>
      <c r="K230" t="s">
        <v>20</v>
      </c>
      <c r="L230">
        <v>0</v>
      </c>
      <c r="M230">
        <v>5000001</v>
      </c>
      <c r="N230">
        <v>0</v>
      </c>
      <c r="O230">
        <v>0</v>
      </c>
      <c r="P230">
        <v>529</v>
      </c>
      <c r="Q230" t="str">
        <f t="shared" si="4"/>
        <v>23mh1a0599@aect.dummy.in</v>
      </c>
    </row>
    <row r="231" spans="1:17" ht="14.4" x14ac:dyDescent="0.3">
      <c r="A231" t="s">
        <v>286</v>
      </c>
      <c r="B231" t="s">
        <v>220</v>
      </c>
      <c r="C231" t="s">
        <v>36</v>
      </c>
      <c r="D231">
        <v>3</v>
      </c>
      <c r="E231">
        <v>0</v>
      </c>
      <c r="F231">
        <v>0</v>
      </c>
      <c r="G231">
        <v>5</v>
      </c>
      <c r="H231">
        <v>0</v>
      </c>
      <c r="I231">
        <v>3</v>
      </c>
      <c r="J231">
        <v>2</v>
      </c>
      <c r="K231" t="s">
        <v>287</v>
      </c>
      <c r="L231">
        <v>28</v>
      </c>
      <c r="M231">
        <v>2786750</v>
      </c>
      <c r="N231">
        <v>2</v>
      </c>
      <c r="O231">
        <v>4</v>
      </c>
      <c r="P231">
        <v>250</v>
      </c>
      <c r="Q231" t="str">
        <f t="shared" si="4"/>
        <v>23mh1a05c0@aect.dummy.in</v>
      </c>
    </row>
    <row r="232" spans="1:17" ht="14.4" x14ac:dyDescent="0.3">
      <c r="A232" t="s">
        <v>288</v>
      </c>
      <c r="B232" t="s">
        <v>220</v>
      </c>
      <c r="C232" t="s">
        <v>36</v>
      </c>
      <c r="D232">
        <v>0</v>
      </c>
      <c r="E232">
        <v>0</v>
      </c>
      <c r="F232">
        <v>5</v>
      </c>
      <c r="G232">
        <v>2</v>
      </c>
      <c r="H232">
        <v>4</v>
      </c>
      <c r="I232">
        <v>3</v>
      </c>
      <c r="J232">
        <v>1</v>
      </c>
      <c r="K232" t="s">
        <v>289</v>
      </c>
      <c r="L232">
        <v>16</v>
      </c>
      <c r="M232">
        <v>3654870</v>
      </c>
      <c r="N232">
        <v>120</v>
      </c>
      <c r="O232">
        <v>378</v>
      </c>
      <c r="P232">
        <v>538</v>
      </c>
      <c r="Q232" t="str">
        <f t="shared" si="4"/>
        <v>23mh1a05d8@aect.dummy.in</v>
      </c>
    </row>
    <row r="233" spans="1:17" ht="14.4" x14ac:dyDescent="0.3">
      <c r="A233" t="s">
        <v>290</v>
      </c>
      <c r="B233" t="s">
        <v>220</v>
      </c>
      <c r="C233" t="s">
        <v>36</v>
      </c>
      <c r="D233">
        <v>4</v>
      </c>
      <c r="E233">
        <v>0</v>
      </c>
      <c r="F233">
        <v>0</v>
      </c>
      <c r="G233">
        <v>2</v>
      </c>
      <c r="H233">
        <v>4</v>
      </c>
      <c r="I233">
        <v>3</v>
      </c>
      <c r="J233">
        <v>1</v>
      </c>
      <c r="K233" t="s">
        <v>71</v>
      </c>
      <c r="L233">
        <v>30</v>
      </c>
      <c r="M233">
        <v>2677182</v>
      </c>
      <c r="N233">
        <v>9</v>
      </c>
      <c r="O233">
        <v>20</v>
      </c>
      <c r="P233">
        <v>119</v>
      </c>
      <c r="Q233" t="str">
        <f t="shared" si="4"/>
        <v>23mh1a05e6@aect.dummy.in</v>
      </c>
    </row>
    <row r="234" spans="1:17" ht="14.4" x14ac:dyDescent="0.3">
      <c r="A234" t="s">
        <v>291</v>
      </c>
      <c r="B234" t="s">
        <v>220</v>
      </c>
      <c r="C234" t="s">
        <v>36</v>
      </c>
      <c r="D234">
        <v>3</v>
      </c>
      <c r="E234">
        <v>0</v>
      </c>
      <c r="F234">
        <v>3</v>
      </c>
      <c r="G234">
        <v>0</v>
      </c>
      <c r="H234">
        <v>3</v>
      </c>
      <c r="I234">
        <v>4</v>
      </c>
      <c r="J234">
        <v>4</v>
      </c>
      <c r="K234" t="s">
        <v>292</v>
      </c>
      <c r="L234">
        <v>137</v>
      </c>
      <c r="M234">
        <v>912351</v>
      </c>
      <c r="N234">
        <v>54</v>
      </c>
      <c r="O234">
        <v>96</v>
      </c>
      <c r="P234">
        <v>418</v>
      </c>
      <c r="Q234" t="str">
        <f t="shared" si="4"/>
        <v>23mh1a05e7@aect.dummy.in</v>
      </c>
    </row>
    <row r="235" spans="1:17" ht="14.4" x14ac:dyDescent="0.3">
      <c r="A235" t="s">
        <v>293</v>
      </c>
      <c r="B235" t="s">
        <v>220</v>
      </c>
      <c r="C235" t="s">
        <v>36</v>
      </c>
      <c r="D235">
        <v>0</v>
      </c>
      <c r="E235">
        <v>0</v>
      </c>
      <c r="F235">
        <v>0</v>
      </c>
      <c r="G235">
        <v>0</v>
      </c>
      <c r="H235">
        <v>0</v>
      </c>
      <c r="I235">
        <v>0</v>
      </c>
      <c r="J235">
        <v>0</v>
      </c>
      <c r="K235" t="s">
        <v>20</v>
      </c>
      <c r="L235">
        <v>0</v>
      </c>
      <c r="M235">
        <v>5000001</v>
      </c>
      <c r="N235">
        <v>0</v>
      </c>
      <c r="O235">
        <v>0</v>
      </c>
      <c r="P235">
        <v>0</v>
      </c>
      <c r="Q235" t="str">
        <f t="shared" si="4"/>
        <v>23mh1a05e9@aect.dummy.in</v>
      </c>
    </row>
    <row r="236" spans="1:17" ht="14.4" x14ac:dyDescent="0.3">
      <c r="A236" t="s">
        <v>294</v>
      </c>
      <c r="B236" t="s">
        <v>220</v>
      </c>
      <c r="C236" t="s">
        <v>36</v>
      </c>
      <c r="D236">
        <v>2</v>
      </c>
      <c r="E236">
        <v>0</v>
      </c>
      <c r="F236">
        <v>0</v>
      </c>
      <c r="G236">
        <v>0</v>
      </c>
      <c r="H236">
        <v>4</v>
      </c>
      <c r="I236">
        <v>2</v>
      </c>
      <c r="J236">
        <v>2</v>
      </c>
      <c r="K236" t="s">
        <v>67</v>
      </c>
      <c r="L236">
        <v>56</v>
      </c>
      <c r="M236">
        <v>1835836</v>
      </c>
      <c r="N236">
        <v>23</v>
      </c>
      <c r="O236">
        <v>54</v>
      </c>
      <c r="P236">
        <v>91</v>
      </c>
      <c r="Q236" t="str">
        <f t="shared" si="4"/>
        <v>23mh1a05f2@aect.dummy.in</v>
      </c>
    </row>
    <row r="237" spans="1:17" ht="14.4" x14ac:dyDescent="0.3">
      <c r="A237" t="s">
        <v>295</v>
      </c>
      <c r="B237" t="s">
        <v>220</v>
      </c>
      <c r="C237" t="s">
        <v>36</v>
      </c>
      <c r="D237">
        <v>2</v>
      </c>
      <c r="E237">
        <v>0</v>
      </c>
      <c r="F237">
        <v>3</v>
      </c>
      <c r="G237">
        <v>0</v>
      </c>
      <c r="H237">
        <v>0</v>
      </c>
      <c r="I237">
        <v>3</v>
      </c>
      <c r="J237">
        <v>0</v>
      </c>
      <c r="K237" t="s">
        <v>20</v>
      </c>
      <c r="L237">
        <v>1</v>
      </c>
      <c r="M237">
        <v>5000001</v>
      </c>
      <c r="N237">
        <v>0</v>
      </c>
      <c r="O237">
        <v>0</v>
      </c>
      <c r="P237">
        <v>64</v>
      </c>
      <c r="Q237" t="str">
        <f t="shared" si="4"/>
        <v>23mh1a05f4@aect.dummy.in</v>
      </c>
    </row>
    <row r="238" spans="1:17" ht="14.4" x14ac:dyDescent="0.3">
      <c r="A238" t="s">
        <v>296</v>
      </c>
      <c r="B238" t="s">
        <v>220</v>
      </c>
      <c r="C238" t="s">
        <v>36</v>
      </c>
      <c r="D238">
        <v>4</v>
      </c>
      <c r="E238">
        <v>2</v>
      </c>
      <c r="F238">
        <v>0</v>
      </c>
      <c r="G238">
        <v>3</v>
      </c>
      <c r="H238">
        <v>5</v>
      </c>
      <c r="I238">
        <v>5</v>
      </c>
      <c r="J238">
        <v>2</v>
      </c>
      <c r="K238" t="s">
        <v>67</v>
      </c>
      <c r="L238">
        <v>137</v>
      </c>
      <c r="M238">
        <v>912280</v>
      </c>
      <c r="N238">
        <v>50</v>
      </c>
      <c r="O238">
        <v>151</v>
      </c>
      <c r="P238">
        <v>235</v>
      </c>
      <c r="Q238" t="str">
        <f t="shared" si="4"/>
        <v>23mh1a05f5@aect.dummy.in</v>
      </c>
    </row>
    <row r="239" spans="1:17" ht="14.4" x14ac:dyDescent="0.3">
      <c r="A239" t="s">
        <v>297</v>
      </c>
      <c r="B239" t="s">
        <v>220</v>
      </c>
      <c r="C239" t="s">
        <v>36</v>
      </c>
      <c r="D239">
        <v>3</v>
      </c>
      <c r="E239">
        <v>1</v>
      </c>
      <c r="F239">
        <v>1</v>
      </c>
      <c r="G239">
        <v>3</v>
      </c>
      <c r="H239">
        <v>2</v>
      </c>
      <c r="I239">
        <v>5</v>
      </c>
      <c r="J239">
        <v>2</v>
      </c>
      <c r="K239" t="s">
        <v>67</v>
      </c>
      <c r="L239">
        <v>111</v>
      </c>
      <c r="M239">
        <v>1103134</v>
      </c>
      <c r="N239">
        <v>0</v>
      </c>
      <c r="O239">
        <v>0</v>
      </c>
      <c r="P239">
        <v>324</v>
      </c>
      <c r="Q239" t="str">
        <f t="shared" si="4"/>
        <v>23mh1a05f7@aect.dummy.in</v>
      </c>
    </row>
    <row r="240" spans="1:17" ht="14.4" x14ac:dyDescent="0.3">
      <c r="A240" t="s">
        <v>298</v>
      </c>
      <c r="B240" t="s">
        <v>220</v>
      </c>
      <c r="C240" t="s">
        <v>36</v>
      </c>
      <c r="D240">
        <v>4</v>
      </c>
      <c r="E240">
        <v>3</v>
      </c>
      <c r="F240">
        <v>3</v>
      </c>
      <c r="G240">
        <v>3</v>
      </c>
      <c r="H240">
        <v>4</v>
      </c>
      <c r="I240">
        <v>6</v>
      </c>
      <c r="J240">
        <v>2</v>
      </c>
      <c r="K240" t="s">
        <v>67</v>
      </c>
      <c r="L240">
        <v>125</v>
      </c>
      <c r="M240">
        <v>993728</v>
      </c>
      <c r="N240">
        <v>101</v>
      </c>
      <c r="O240">
        <v>176</v>
      </c>
      <c r="P240">
        <v>410</v>
      </c>
      <c r="Q240" t="str">
        <f t="shared" si="4"/>
        <v>23mh1a05f9@aect.dummy.in</v>
      </c>
    </row>
    <row r="241" spans="1:17" ht="14.4" x14ac:dyDescent="0.3">
      <c r="A241" t="s">
        <v>299</v>
      </c>
      <c r="B241" t="s">
        <v>220</v>
      </c>
      <c r="C241" t="s">
        <v>36</v>
      </c>
      <c r="D241">
        <v>0</v>
      </c>
      <c r="E241">
        <v>3</v>
      </c>
      <c r="F241">
        <v>2</v>
      </c>
      <c r="G241">
        <v>3</v>
      </c>
      <c r="H241">
        <v>3</v>
      </c>
      <c r="I241">
        <v>4</v>
      </c>
      <c r="J241">
        <v>2</v>
      </c>
      <c r="K241" t="s">
        <v>67</v>
      </c>
      <c r="L241">
        <v>137</v>
      </c>
      <c r="M241">
        <v>912241</v>
      </c>
      <c r="N241">
        <v>53</v>
      </c>
      <c r="O241">
        <v>98</v>
      </c>
      <c r="P241">
        <v>221</v>
      </c>
      <c r="Q241" t="str">
        <f t="shared" si="4"/>
        <v>23mh1a05g0@aect.dummy.in</v>
      </c>
    </row>
    <row r="242" spans="1:17" ht="14.4" x14ac:dyDescent="0.3">
      <c r="A242" t="s">
        <v>300</v>
      </c>
      <c r="B242" t="s">
        <v>220</v>
      </c>
      <c r="C242" t="s">
        <v>36</v>
      </c>
      <c r="D242">
        <v>0</v>
      </c>
      <c r="E242">
        <v>0</v>
      </c>
      <c r="F242">
        <v>0</v>
      </c>
      <c r="G242">
        <v>0</v>
      </c>
      <c r="H242">
        <v>0</v>
      </c>
      <c r="I242">
        <v>0</v>
      </c>
      <c r="J242">
        <v>0</v>
      </c>
      <c r="K242" t="s">
        <v>20</v>
      </c>
      <c r="L242">
        <v>0</v>
      </c>
      <c r="M242">
        <v>5000001</v>
      </c>
      <c r="N242">
        <v>0</v>
      </c>
      <c r="O242">
        <v>0</v>
      </c>
      <c r="P242">
        <v>0</v>
      </c>
      <c r="Q242" t="str">
        <f t="shared" si="4"/>
        <v>23mh1a05g2@aect.dummy.in</v>
      </c>
    </row>
    <row r="243" spans="1:17" ht="14.4" x14ac:dyDescent="0.3">
      <c r="A243" t="s">
        <v>301</v>
      </c>
      <c r="B243" t="s">
        <v>220</v>
      </c>
      <c r="C243" t="s">
        <v>36</v>
      </c>
      <c r="D243">
        <v>2</v>
      </c>
      <c r="E243">
        <v>0</v>
      </c>
      <c r="F243">
        <v>2</v>
      </c>
      <c r="G243">
        <v>1</v>
      </c>
      <c r="H243">
        <v>0</v>
      </c>
      <c r="I243">
        <v>4</v>
      </c>
      <c r="J243">
        <v>0</v>
      </c>
      <c r="K243" t="s">
        <v>20</v>
      </c>
      <c r="L243">
        <v>2</v>
      </c>
      <c r="M243">
        <v>5000001</v>
      </c>
      <c r="N243">
        <v>0</v>
      </c>
      <c r="O243">
        <v>0</v>
      </c>
      <c r="P243">
        <v>21</v>
      </c>
      <c r="Q243" t="str">
        <f t="shared" si="4"/>
        <v>23mh1a05g4@aect.dummy.in</v>
      </c>
    </row>
    <row r="244" spans="1:17" ht="14.4" x14ac:dyDescent="0.3">
      <c r="A244" t="s">
        <v>302</v>
      </c>
      <c r="B244" t="s">
        <v>220</v>
      </c>
      <c r="C244" t="s">
        <v>36</v>
      </c>
      <c r="D244">
        <v>0</v>
      </c>
      <c r="E244">
        <v>0</v>
      </c>
      <c r="F244">
        <v>0</v>
      </c>
      <c r="G244">
        <v>0</v>
      </c>
      <c r="H244">
        <v>1</v>
      </c>
      <c r="I244">
        <v>1</v>
      </c>
      <c r="J244">
        <v>0</v>
      </c>
      <c r="K244" t="s">
        <v>20</v>
      </c>
      <c r="L244">
        <v>0</v>
      </c>
      <c r="M244">
        <v>5000001</v>
      </c>
      <c r="N244">
        <v>0</v>
      </c>
      <c r="O244">
        <v>0</v>
      </c>
      <c r="P244">
        <v>30</v>
      </c>
      <c r="Q244" t="str">
        <f t="shared" si="4"/>
        <v>23mh1a05g5@aect.dummy.in</v>
      </c>
    </row>
    <row r="245" spans="1:17" ht="14.4" x14ac:dyDescent="0.3">
      <c r="A245" t="s">
        <v>303</v>
      </c>
      <c r="B245" t="s">
        <v>220</v>
      </c>
      <c r="C245" t="s">
        <v>36</v>
      </c>
      <c r="D245">
        <v>0</v>
      </c>
      <c r="E245">
        <v>0</v>
      </c>
      <c r="F245">
        <v>0</v>
      </c>
      <c r="G245">
        <v>0</v>
      </c>
      <c r="H245">
        <v>4</v>
      </c>
      <c r="I245">
        <v>2</v>
      </c>
      <c r="J245">
        <v>2</v>
      </c>
      <c r="K245" t="s">
        <v>67</v>
      </c>
      <c r="L245">
        <v>47</v>
      </c>
      <c r="M245">
        <v>2063096</v>
      </c>
      <c r="N245">
        <v>0</v>
      </c>
      <c r="O245">
        <v>0</v>
      </c>
      <c r="P245">
        <v>0</v>
      </c>
      <c r="Q245" t="str">
        <f t="shared" si="4"/>
        <v>23mh1a05g7@aect.dummy.in</v>
      </c>
    </row>
    <row r="246" spans="1:17" ht="14.4" x14ac:dyDescent="0.3">
      <c r="A246" t="s">
        <v>304</v>
      </c>
      <c r="B246" t="s">
        <v>220</v>
      </c>
      <c r="C246" t="s">
        <v>36</v>
      </c>
      <c r="D246">
        <v>1</v>
      </c>
      <c r="E246">
        <v>0</v>
      </c>
      <c r="F246">
        <v>1</v>
      </c>
      <c r="G246">
        <v>0</v>
      </c>
      <c r="H246">
        <v>0</v>
      </c>
      <c r="I246">
        <v>2</v>
      </c>
      <c r="J246">
        <v>0</v>
      </c>
      <c r="K246" t="s">
        <v>20</v>
      </c>
      <c r="L246">
        <v>19</v>
      </c>
      <c r="M246">
        <v>3373127</v>
      </c>
      <c r="N246">
        <v>0</v>
      </c>
      <c r="O246">
        <v>0</v>
      </c>
      <c r="P246">
        <v>88</v>
      </c>
      <c r="Q246" t="str">
        <f t="shared" si="4"/>
        <v>23mh1a05h0@aect.dummy.in</v>
      </c>
    </row>
    <row r="247" spans="1:17" ht="14.4" x14ac:dyDescent="0.3">
      <c r="A247" t="s">
        <v>305</v>
      </c>
      <c r="B247" t="s">
        <v>220</v>
      </c>
      <c r="C247" t="s">
        <v>36</v>
      </c>
      <c r="D247">
        <v>0</v>
      </c>
      <c r="E247">
        <v>0</v>
      </c>
      <c r="F247">
        <v>0</v>
      </c>
      <c r="G247">
        <v>0</v>
      </c>
      <c r="H247">
        <v>0</v>
      </c>
      <c r="I247">
        <v>0</v>
      </c>
      <c r="J247">
        <v>0</v>
      </c>
      <c r="K247" t="s">
        <v>20</v>
      </c>
      <c r="L247">
        <v>0</v>
      </c>
      <c r="M247">
        <v>5000001</v>
      </c>
      <c r="N247">
        <v>0</v>
      </c>
      <c r="O247">
        <v>0</v>
      </c>
      <c r="P247">
        <v>0</v>
      </c>
      <c r="Q247" t="str">
        <f t="shared" si="4"/>
        <v>23mh1a05h2@aect.dummy.in</v>
      </c>
    </row>
    <row r="248" spans="1:17" ht="14.4" x14ac:dyDescent="0.3">
      <c r="A248" t="s">
        <v>306</v>
      </c>
      <c r="B248" t="s">
        <v>220</v>
      </c>
      <c r="C248" t="s">
        <v>36</v>
      </c>
      <c r="D248">
        <v>0</v>
      </c>
      <c r="E248">
        <v>0</v>
      </c>
      <c r="F248">
        <v>0</v>
      </c>
      <c r="G248">
        <v>0</v>
      </c>
      <c r="H248">
        <v>0</v>
      </c>
      <c r="I248">
        <v>0</v>
      </c>
      <c r="J248">
        <v>0</v>
      </c>
      <c r="K248" t="s">
        <v>20</v>
      </c>
      <c r="L248">
        <v>1</v>
      </c>
      <c r="M248">
        <v>5000001</v>
      </c>
      <c r="N248">
        <v>3</v>
      </c>
      <c r="O248">
        <v>5</v>
      </c>
      <c r="P248">
        <v>134</v>
      </c>
      <c r="Q248" t="str">
        <f t="shared" si="4"/>
        <v>23mh1a05h3@aect.dummy.in</v>
      </c>
    </row>
    <row r="249" spans="1:17" ht="14.4" x14ac:dyDescent="0.3">
      <c r="A249" t="s">
        <v>307</v>
      </c>
      <c r="B249" t="s">
        <v>220</v>
      </c>
      <c r="C249" t="s">
        <v>36</v>
      </c>
      <c r="D249">
        <v>0</v>
      </c>
      <c r="E249">
        <v>0</v>
      </c>
      <c r="F249">
        <v>0</v>
      </c>
      <c r="G249">
        <v>0</v>
      </c>
      <c r="H249">
        <v>0</v>
      </c>
      <c r="I249">
        <v>1</v>
      </c>
      <c r="J249">
        <v>0</v>
      </c>
      <c r="K249" t="s">
        <v>20</v>
      </c>
      <c r="L249">
        <v>0</v>
      </c>
      <c r="M249">
        <v>5000001</v>
      </c>
      <c r="N249">
        <v>0</v>
      </c>
      <c r="O249">
        <v>0</v>
      </c>
      <c r="P249">
        <v>9</v>
      </c>
      <c r="Q249" t="str">
        <f t="shared" si="4"/>
        <v>23mh1a05h5@aect.dummy.in</v>
      </c>
    </row>
    <row r="250" spans="1:17" ht="14.4" x14ac:dyDescent="0.3">
      <c r="A250" t="s">
        <v>308</v>
      </c>
      <c r="B250" t="s">
        <v>220</v>
      </c>
      <c r="C250" t="s">
        <v>36</v>
      </c>
      <c r="D250">
        <v>2</v>
      </c>
      <c r="E250">
        <v>0</v>
      </c>
      <c r="F250">
        <v>0</v>
      </c>
      <c r="G250">
        <v>0</v>
      </c>
      <c r="H250">
        <v>0</v>
      </c>
      <c r="I250">
        <v>1</v>
      </c>
      <c r="J250">
        <v>0</v>
      </c>
      <c r="K250" t="s">
        <v>20</v>
      </c>
      <c r="L250">
        <v>0</v>
      </c>
      <c r="M250">
        <v>5000001</v>
      </c>
      <c r="N250">
        <v>0</v>
      </c>
      <c r="O250">
        <v>0</v>
      </c>
      <c r="P250">
        <v>0</v>
      </c>
      <c r="Q250" t="str">
        <f t="shared" ref="Q250:Q313" si="5">LOWER(A250) &amp;"@aect.dummy.in"</f>
        <v>23mh1a05h7@aect.dummy.in</v>
      </c>
    </row>
    <row r="251" spans="1:17" ht="14.4" x14ac:dyDescent="0.3">
      <c r="A251" t="s">
        <v>309</v>
      </c>
      <c r="B251" t="s">
        <v>220</v>
      </c>
      <c r="C251" t="s">
        <v>36</v>
      </c>
      <c r="D251">
        <v>4</v>
      </c>
      <c r="E251">
        <v>3</v>
      </c>
      <c r="F251">
        <v>5</v>
      </c>
      <c r="G251">
        <v>3</v>
      </c>
      <c r="H251">
        <v>2</v>
      </c>
      <c r="I251">
        <v>5</v>
      </c>
      <c r="J251">
        <v>2</v>
      </c>
      <c r="K251" t="s">
        <v>67</v>
      </c>
      <c r="L251">
        <v>209</v>
      </c>
      <c r="M251">
        <v>579846</v>
      </c>
      <c r="N251">
        <v>144</v>
      </c>
      <c r="O251">
        <v>226</v>
      </c>
      <c r="P251">
        <v>788</v>
      </c>
      <c r="Q251" t="str">
        <f t="shared" si="5"/>
        <v>23mh1a05h8@aect.dummy.in</v>
      </c>
    </row>
    <row r="252" spans="1:17" ht="14.4" x14ac:dyDescent="0.3">
      <c r="A252" t="s">
        <v>310</v>
      </c>
      <c r="B252" t="s">
        <v>220</v>
      </c>
      <c r="C252" t="s">
        <v>36</v>
      </c>
      <c r="D252">
        <v>0</v>
      </c>
      <c r="E252">
        <v>0</v>
      </c>
      <c r="F252">
        <v>1</v>
      </c>
      <c r="G252">
        <v>1</v>
      </c>
      <c r="H252">
        <v>3</v>
      </c>
      <c r="I252">
        <v>4</v>
      </c>
      <c r="J252">
        <v>2</v>
      </c>
      <c r="K252" t="s">
        <v>67</v>
      </c>
      <c r="L252">
        <v>27</v>
      </c>
      <c r="M252">
        <v>2830335</v>
      </c>
      <c r="N252">
        <v>6</v>
      </c>
      <c r="O252">
        <v>26</v>
      </c>
      <c r="P252">
        <v>250</v>
      </c>
      <c r="Q252" t="str">
        <f t="shared" si="5"/>
        <v>23mh1a05i2@aect.dummy.in</v>
      </c>
    </row>
    <row r="253" spans="1:17" ht="14.4" x14ac:dyDescent="0.3">
      <c r="A253" t="s">
        <v>311</v>
      </c>
      <c r="B253" t="s">
        <v>220</v>
      </c>
      <c r="C253" t="s">
        <v>36</v>
      </c>
      <c r="D253">
        <v>4</v>
      </c>
      <c r="E253">
        <v>0</v>
      </c>
      <c r="F253">
        <v>1</v>
      </c>
      <c r="G253">
        <v>0</v>
      </c>
      <c r="H253">
        <v>1</v>
      </c>
      <c r="I253">
        <v>3</v>
      </c>
      <c r="J253">
        <v>0</v>
      </c>
      <c r="K253" t="s">
        <v>20</v>
      </c>
      <c r="L253">
        <v>16</v>
      </c>
      <c r="M253">
        <v>3657143</v>
      </c>
      <c r="N253">
        <v>0</v>
      </c>
      <c r="O253">
        <v>0</v>
      </c>
      <c r="P253">
        <v>4</v>
      </c>
      <c r="Q253" t="str">
        <f t="shared" si="5"/>
        <v>23mh1a05i3@aect.dummy.in</v>
      </c>
    </row>
    <row r="254" spans="1:17" ht="14.4" x14ac:dyDescent="0.3">
      <c r="A254" t="s">
        <v>312</v>
      </c>
      <c r="B254" t="s">
        <v>220</v>
      </c>
      <c r="C254" t="s">
        <v>36</v>
      </c>
      <c r="D254">
        <v>0</v>
      </c>
      <c r="E254">
        <v>0</v>
      </c>
      <c r="F254">
        <v>0</v>
      </c>
      <c r="G254">
        <v>0</v>
      </c>
      <c r="H254">
        <v>0</v>
      </c>
      <c r="I254">
        <v>0</v>
      </c>
      <c r="J254">
        <v>0</v>
      </c>
      <c r="K254" t="s">
        <v>20</v>
      </c>
      <c r="L254">
        <v>14</v>
      </c>
      <c r="M254">
        <v>3893023</v>
      </c>
      <c r="N254">
        <v>0</v>
      </c>
      <c r="O254">
        <v>0</v>
      </c>
      <c r="P254">
        <v>0</v>
      </c>
      <c r="Q254" t="str">
        <f t="shared" si="5"/>
        <v>23mh1a05i5@aect.dummy.in</v>
      </c>
    </row>
    <row r="255" spans="1:17" ht="14.4" x14ac:dyDescent="0.3">
      <c r="A255" t="s">
        <v>313</v>
      </c>
      <c r="B255" t="s">
        <v>220</v>
      </c>
      <c r="C255" t="s">
        <v>36</v>
      </c>
      <c r="D255">
        <v>3</v>
      </c>
      <c r="E255">
        <v>0</v>
      </c>
      <c r="F255">
        <v>0</v>
      </c>
      <c r="G255">
        <v>0</v>
      </c>
      <c r="H255">
        <v>0</v>
      </c>
      <c r="I255">
        <v>1</v>
      </c>
      <c r="J255">
        <v>0</v>
      </c>
      <c r="K255" t="s">
        <v>20</v>
      </c>
      <c r="L255">
        <v>0</v>
      </c>
      <c r="M255">
        <v>5000001</v>
      </c>
      <c r="N255">
        <v>0</v>
      </c>
      <c r="O255">
        <v>0</v>
      </c>
      <c r="P255">
        <v>51</v>
      </c>
      <c r="Q255" t="str">
        <f t="shared" si="5"/>
        <v>23mh1a05i6@aect.dummy.in</v>
      </c>
    </row>
    <row r="256" spans="1:17" ht="14.4" x14ac:dyDescent="0.3">
      <c r="A256" t="s">
        <v>314</v>
      </c>
      <c r="B256" t="s">
        <v>220</v>
      </c>
      <c r="C256" t="s">
        <v>36</v>
      </c>
      <c r="D256">
        <v>1</v>
      </c>
      <c r="E256">
        <v>0</v>
      </c>
      <c r="F256">
        <v>3</v>
      </c>
      <c r="G256">
        <v>1</v>
      </c>
      <c r="H256">
        <v>0</v>
      </c>
      <c r="I256">
        <v>4</v>
      </c>
      <c r="J256">
        <v>0</v>
      </c>
      <c r="K256" t="s">
        <v>20</v>
      </c>
      <c r="L256">
        <v>3</v>
      </c>
      <c r="M256">
        <v>5000001</v>
      </c>
      <c r="N256">
        <v>5</v>
      </c>
      <c r="O256">
        <v>7</v>
      </c>
      <c r="P256">
        <v>137</v>
      </c>
      <c r="Q256" t="str">
        <f t="shared" si="5"/>
        <v>23mh1a05i7@aect.dummy.in</v>
      </c>
    </row>
    <row r="257" spans="1:17" ht="14.4" x14ac:dyDescent="0.3">
      <c r="A257" t="s">
        <v>315</v>
      </c>
      <c r="B257" t="s">
        <v>220</v>
      </c>
      <c r="C257" t="s">
        <v>36</v>
      </c>
      <c r="D257">
        <v>0</v>
      </c>
      <c r="E257">
        <v>0</v>
      </c>
      <c r="F257">
        <v>0</v>
      </c>
      <c r="G257">
        <v>0</v>
      </c>
      <c r="H257">
        <v>0</v>
      </c>
      <c r="I257">
        <v>1</v>
      </c>
      <c r="J257">
        <v>0</v>
      </c>
      <c r="K257" t="s">
        <v>20</v>
      </c>
      <c r="L257">
        <v>0</v>
      </c>
      <c r="M257">
        <v>5000001</v>
      </c>
      <c r="N257">
        <v>0</v>
      </c>
      <c r="O257">
        <v>0</v>
      </c>
      <c r="P257">
        <v>0</v>
      </c>
      <c r="Q257" t="str">
        <f t="shared" si="5"/>
        <v>23mh1a05i9@aect.dummy.in</v>
      </c>
    </row>
    <row r="258" spans="1:17" ht="14.4" x14ac:dyDescent="0.3">
      <c r="A258" t="s">
        <v>316</v>
      </c>
      <c r="B258" t="s">
        <v>220</v>
      </c>
      <c r="C258" t="s">
        <v>36</v>
      </c>
      <c r="D258">
        <v>3</v>
      </c>
      <c r="E258">
        <v>2</v>
      </c>
      <c r="F258">
        <v>1</v>
      </c>
      <c r="G258">
        <v>1</v>
      </c>
      <c r="H258">
        <v>5</v>
      </c>
      <c r="I258">
        <v>6</v>
      </c>
      <c r="J258">
        <v>2</v>
      </c>
      <c r="K258" t="s">
        <v>67</v>
      </c>
      <c r="L258">
        <v>209</v>
      </c>
      <c r="M258">
        <v>579812</v>
      </c>
      <c r="N258">
        <v>255</v>
      </c>
      <c r="O258">
        <v>763</v>
      </c>
      <c r="P258">
        <v>694</v>
      </c>
      <c r="Q258" t="str">
        <f t="shared" si="5"/>
        <v>23mh1a05j2@aect.dummy.in</v>
      </c>
    </row>
    <row r="259" spans="1:17" ht="14.4" x14ac:dyDescent="0.3">
      <c r="A259" t="s">
        <v>317</v>
      </c>
      <c r="B259" t="s">
        <v>220</v>
      </c>
      <c r="C259" t="s">
        <v>36</v>
      </c>
      <c r="D259">
        <v>3</v>
      </c>
      <c r="E259">
        <v>0</v>
      </c>
      <c r="F259">
        <v>2</v>
      </c>
      <c r="G259">
        <v>1</v>
      </c>
      <c r="H259">
        <v>0</v>
      </c>
      <c r="I259">
        <v>4</v>
      </c>
      <c r="J259">
        <v>0</v>
      </c>
      <c r="K259" t="s">
        <v>20</v>
      </c>
      <c r="L259">
        <v>1</v>
      </c>
      <c r="M259">
        <v>5000001</v>
      </c>
      <c r="N259">
        <v>5</v>
      </c>
      <c r="O259">
        <v>14</v>
      </c>
      <c r="P259">
        <v>85</v>
      </c>
      <c r="Q259" t="str">
        <f t="shared" si="5"/>
        <v>23mh1a05j4@aect.dummy.in</v>
      </c>
    </row>
    <row r="260" spans="1:17" ht="14.4" x14ac:dyDescent="0.3">
      <c r="A260" t="s">
        <v>318</v>
      </c>
      <c r="B260" t="s">
        <v>220</v>
      </c>
      <c r="C260" t="s">
        <v>36</v>
      </c>
      <c r="D260">
        <v>2</v>
      </c>
      <c r="E260">
        <v>0</v>
      </c>
      <c r="F260">
        <v>0</v>
      </c>
      <c r="G260">
        <v>0</v>
      </c>
      <c r="H260">
        <v>3</v>
      </c>
      <c r="I260">
        <v>2</v>
      </c>
      <c r="J260">
        <v>1</v>
      </c>
      <c r="K260" t="s">
        <v>71</v>
      </c>
      <c r="L260">
        <v>72</v>
      </c>
      <c r="M260">
        <v>1545688</v>
      </c>
      <c r="N260">
        <v>28</v>
      </c>
      <c r="O260">
        <v>89</v>
      </c>
      <c r="P260">
        <v>550</v>
      </c>
      <c r="Q260" t="str">
        <f t="shared" si="5"/>
        <v>23mh1a05j5@aect.dummy.in</v>
      </c>
    </row>
    <row r="261" spans="1:17" ht="14.4" x14ac:dyDescent="0.3">
      <c r="A261" t="s">
        <v>319</v>
      </c>
      <c r="B261" t="s">
        <v>220</v>
      </c>
      <c r="C261" t="s">
        <v>36</v>
      </c>
      <c r="D261">
        <v>0</v>
      </c>
      <c r="E261">
        <v>0</v>
      </c>
      <c r="F261">
        <v>0</v>
      </c>
      <c r="G261">
        <v>0</v>
      </c>
      <c r="H261">
        <v>0</v>
      </c>
      <c r="I261">
        <v>1</v>
      </c>
      <c r="J261">
        <v>0</v>
      </c>
      <c r="K261" t="s">
        <v>20</v>
      </c>
      <c r="L261">
        <v>0</v>
      </c>
      <c r="M261">
        <v>5000001</v>
      </c>
      <c r="N261">
        <v>0</v>
      </c>
      <c r="O261">
        <v>0</v>
      </c>
      <c r="P261">
        <v>0</v>
      </c>
      <c r="Q261" t="str">
        <f t="shared" si="5"/>
        <v>23mh1a05j9@aect.dummy.in</v>
      </c>
    </row>
    <row r="262" spans="1:17" ht="14.4" x14ac:dyDescent="0.3">
      <c r="A262" t="s">
        <v>320</v>
      </c>
      <c r="B262" t="s">
        <v>220</v>
      </c>
      <c r="C262" t="s">
        <v>36</v>
      </c>
      <c r="D262">
        <v>0</v>
      </c>
      <c r="E262">
        <v>0</v>
      </c>
      <c r="F262">
        <v>4</v>
      </c>
      <c r="G262">
        <v>1</v>
      </c>
      <c r="H262">
        <v>0</v>
      </c>
      <c r="I262">
        <v>2</v>
      </c>
      <c r="J262">
        <v>0</v>
      </c>
      <c r="K262" t="s">
        <v>20</v>
      </c>
      <c r="L262">
        <v>23</v>
      </c>
      <c r="M262">
        <v>3070030</v>
      </c>
      <c r="N262">
        <v>40</v>
      </c>
      <c r="O262">
        <v>144</v>
      </c>
      <c r="P262">
        <v>494</v>
      </c>
      <c r="Q262" t="str">
        <f t="shared" si="5"/>
        <v>23mh1a05k1@aect.dummy.in</v>
      </c>
    </row>
    <row r="263" spans="1:17" ht="14.4" x14ac:dyDescent="0.3">
      <c r="A263" t="s">
        <v>321</v>
      </c>
      <c r="B263" t="s">
        <v>220</v>
      </c>
      <c r="C263" t="s">
        <v>36</v>
      </c>
      <c r="D263">
        <v>1</v>
      </c>
      <c r="E263">
        <v>0</v>
      </c>
      <c r="F263">
        <v>0</v>
      </c>
      <c r="G263">
        <v>0</v>
      </c>
      <c r="H263">
        <v>0</v>
      </c>
      <c r="I263">
        <v>1</v>
      </c>
      <c r="J263">
        <v>0</v>
      </c>
      <c r="K263" t="s">
        <v>20</v>
      </c>
      <c r="L263">
        <v>6</v>
      </c>
      <c r="M263">
        <v>5000001</v>
      </c>
      <c r="N263">
        <v>1</v>
      </c>
      <c r="O263">
        <v>1</v>
      </c>
      <c r="P263">
        <v>280</v>
      </c>
      <c r="Q263" t="str">
        <f t="shared" si="5"/>
        <v>23mh1a05k2@aect.dummy.in</v>
      </c>
    </row>
    <row r="264" spans="1:17" ht="14.4" x14ac:dyDescent="0.3">
      <c r="A264" t="s">
        <v>322</v>
      </c>
      <c r="B264" t="s">
        <v>220</v>
      </c>
      <c r="C264" t="s">
        <v>36</v>
      </c>
      <c r="D264">
        <v>2</v>
      </c>
      <c r="E264">
        <v>0</v>
      </c>
      <c r="F264">
        <v>0</v>
      </c>
      <c r="G264">
        <v>1</v>
      </c>
      <c r="H264">
        <v>0</v>
      </c>
      <c r="I264">
        <v>2</v>
      </c>
      <c r="J264">
        <v>0</v>
      </c>
      <c r="K264" t="s">
        <v>20</v>
      </c>
      <c r="L264">
        <v>13</v>
      </c>
      <c r="M264">
        <v>4035691</v>
      </c>
      <c r="N264">
        <v>0</v>
      </c>
      <c r="O264">
        <v>0</v>
      </c>
      <c r="P264">
        <v>31</v>
      </c>
      <c r="Q264" t="str">
        <f t="shared" si="5"/>
        <v>23mh1a05k4@aect.dummy.in</v>
      </c>
    </row>
    <row r="265" spans="1:17" ht="14.4" x14ac:dyDescent="0.3">
      <c r="A265" t="s">
        <v>323</v>
      </c>
      <c r="B265" t="s">
        <v>220</v>
      </c>
      <c r="C265" t="s">
        <v>36</v>
      </c>
      <c r="D265">
        <v>0</v>
      </c>
      <c r="E265">
        <v>0</v>
      </c>
      <c r="F265">
        <v>0</v>
      </c>
      <c r="G265">
        <v>0</v>
      </c>
      <c r="H265">
        <v>0</v>
      </c>
      <c r="I265">
        <v>0</v>
      </c>
      <c r="J265">
        <v>0</v>
      </c>
      <c r="K265" t="s">
        <v>20</v>
      </c>
      <c r="L265">
        <v>1</v>
      </c>
      <c r="M265">
        <v>5000001</v>
      </c>
      <c r="N265">
        <v>1</v>
      </c>
      <c r="O265">
        <v>1</v>
      </c>
      <c r="P265">
        <v>151</v>
      </c>
      <c r="Q265" t="str">
        <f t="shared" si="5"/>
        <v>23mh1a05k5@aect.dummy.in</v>
      </c>
    </row>
    <row r="266" spans="1:17" ht="14.4" x14ac:dyDescent="0.3">
      <c r="A266" t="s">
        <v>324</v>
      </c>
      <c r="B266" t="s">
        <v>220</v>
      </c>
      <c r="C266" t="s">
        <v>36</v>
      </c>
      <c r="D266">
        <v>3</v>
      </c>
      <c r="E266">
        <v>0</v>
      </c>
      <c r="F266">
        <v>0</v>
      </c>
      <c r="G266">
        <v>1</v>
      </c>
      <c r="H266">
        <v>0</v>
      </c>
      <c r="I266">
        <v>2</v>
      </c>
      <c r="J266">
        <v>0</v>
      </c>
      <c r="K266" t="s">
        <v>20</v>
      </c>
      <c r="L266">
        <v>38</v>
      </c>
      <c r="M266">
        <v>2342782</v>
      </c>
      <c r="N266">
        <v>131</v>
      </c>
      <c r="O266">
        <v>388</v>
      </c>
      <c r="P266">
        <v>87</v>
      </c>
      <c r="Q266" t="str">
        <f t="shared" si="5"/>
        <v>23mh1a05k7@aect.dummy.in</v>
      </c>
    </row>
    <row r="267" spans="1:17" ht="14.4" x14ac:dyDescent="0.3">
      <c r="A267" t="s">
        <v>325</v>
      </c>
      <c r="B267" t="s">
        <v>220</v>
      </c>
      <c r="C267" t="s">
        <v>36</v>
      </c>
      <c r="D267">
        <v>3</v>
      </c>
      <c r="E267">
        <v>4</v>
      </c>
      <c r="F267">
        <v>3</v>
      </c>
      <c r="G267">
        <v>3</v>
      </c>
      <c r="H267">
        <v>3</v>
      </c>
      <c r="I267">
        <v>6</v>
      </c>
      <c r="J267">
        <v>7</v>
      </c>
      <c r="K267" t="s">
        <v>326</v>
      </c>
      <c r="L267">
        <v>180</v>
      </c>
      <c r="M267">
        <v>688071</v>
      </c>
      <c r="N267">
        <v>105</v>
      </c>
      <c r="O267">
        <v>266</v>
      </c>
      <c r="P267">
        <v>43</v>
      </c>
      <c r="Q267" t="str">
        <f t="shared" si="5"/>
        <v>23mh1a05l1@aect.dummy.in</v>
      </c>
    </row>
    <row r="268" spans="1:17" ht="14.4" x14ac:dyDescent="0.3">
      <c r="A268" t="s">
        <v>327</v>
      </c>
      <c r="B268" t="s">
        <v>220</v>
      </c>
      <c r="C268" t="s">
        <v>36</v>
      </c>
      <c r="D268">
        <v>4</v>
      </c>
      <c r="E268">
        <v>0</v>
      </c>
      <c r="F268">
        <v>0</v>
      </c>
      <c r="G268">
        <v>0</v>
      </c>
      <c r="H268">
        <v>0</v>
      </c>
      <c r="I268">
        <v>1</v>
      </c>
      <c r="J268">
        <v>0</v>
      </c>
      <c r="K268" t="s">
        <v>20</v>
      </c>
      <c r="L268">
        <v>0</v>
      </c>
      <c r="M268">
        <v>5000001</v>
      </c>
      <c r="N268">
        <v>0</v>
      </c>
      <c r="O268">
        <v>0</v>
      </c>
      <c r="P268">
        <v>0</v>
      </c>
      <c r="Q268" t="str">
        <f t="shared" si="5"/>
        <v>23mh1a05l2@aect.dummy.in</v>
      </c>
    </row>
    <row r="269" spans="1:17" ht="14.4" x14ac:dyDescent="0.3">
      <c r="A269" t="s">
        <v>328</v>
      </c>
      <c r="B269" t="s">
        <v>220</v>
      </c>
      <c r="C269" t="s">
        <v>36</v>
      </c>
      <c r="D269">
        <v>3</v>
      </c>
      <c r="E269">
        <v>0</v>
      </c>
      <c r="F269">
        <v>0</v>
      </c>
      <c r="G269">
        <v>2</v>
      </c>
      <c r="H269">
        <v>3</v>
      </c>
      <c r="I269">
        <v>3</v>
      </c>
      <c r="J269">
        <v>1</v>
      </c>
      <c r="K269" t="s">
        <v>71</v>
      </c>
      <c r="L269">
        <v>304</v>
      </c>
      <c r="M269">
        <v>351725</v>
      </c>
      <c r="N269">
        <v>87</v>
      </c>
      <c r="O269">
        <v>210</v>
      </c>
      <c r="P269">
        <v>330</v>
      </c>
      <c r="Q269" t="str">
        <f t="shared" si="5"/>
        <v>23mh1a05l3@aect.dummy.in</v>
      </c>
    </row>
    <row r="270" spans="1:17" ht="14.4" x14ac:dyDescent="0.3">
      <c r="A270" t="s">
        <v>329</v>
      </c>
      <c r="B270" t="s">
        <v>220</v>
      </c>
      <c r="C270" t="s">
        <v>36</v>
      </c>
      <c r="D270">
        <v>2</v>
      </c>
      <c r="E270">
        <v>0</v>
      </c>
      <c r="F270">
        <v>0</v>
      </c>
      <c r="G270">
        <v>2</v>
      </c>
      <c r="H270">
        <v>2</v>
      </c>
      <c r="I270">
        <v>3</v>
      </c>
      <c r="J270">
        <v>1</v>
      </c>
      <c r="K270" t="s">
        <v>71</v>
      </c>
      <c r="L270">
        <v>161</v>
      </c>
      <c r="M270">
        <v>774844</v>
      </c>
      <c r="N270">
        <v>102</v>
      </c>
      <c r="O270">
        <v>290</v>
      </c>
      <c r="P270">
        <v>172</v>
      </c>
      <c r="Q270" t="str">
        <f t="shared" si="5"/>
        <v>23mh1a05l4@aect.dummy.in</v>
      </c>
    </row>
    <row r="271" spans="1:17" ht="14.4" x14ac:dyDescent="0.3">
      <c r="A271" t="s">
        <v>330</v>
      </c>
      <c r="B271" t="s">
        <v>220</v>
      </c>
      <c r="C271" t="s">
        <v>36</v>
      </c>
      <c r="D271">
        <v>4</v>
      </c>
      <c r="E271">
        <v>0</v>
      </c>
      <c r="F271">
        <v>0</v>
      </c>
      <c r="G271">
        <v>0</v>
      </c>
      <c r="H271">
        <v>0</v>
      </c>
      <c r="I271">
        <v>1</v>
      </c>
      <c r="J271">
        <v>0</v>
      </c>
      <c r="K271" t="s">
        <v>20</v>
      </c>
      <c r="L271">
        <v>4</v>
      </c>
      <c r="M271">
        <v>5000001</v>
      </c>
      <c r="N271">
        <v>3</v>
      </c>
      <c r="O271">
        <v>3</v>
      </c>
      <c r="P271">
        <v>145</v>
      </c>
      <c r="Q271" t="str">
        <f t="shared" si="5"/>
        <v>23mh1a05l8@aect.dummy.in</v>
      </c>
    </row>
    <row r="272" spans="1:17" ht="14.4" x14ac:dyDescent="0.3">
      <c r="A272" t="s">
        <v>331</v>
      </c>
      <c r="B272" t="s">
        <v>220</v>
      </c>
      <c r="C272" t="s">
        <v>36</v>
      </c>
      <c r="D272">
        <v>3</v>
      </c>
      <c r="E272">
        <v>0</v>
      </c>
      <c r="F272">
        <v>0</v>
      </c>
      <c r="G272">
        <v>0</v>
      </c>
      <c r="H272">
        <v>0</v>
      </c>
      <c r="I272">
        <v>1</v>
      </c>
      <c r="J272">
        <v>2</v>
      </c>
      <c r="K272" t="s">
        <v>332</v>
      </c>
      <c r="L272">
        <v>1</v>
      </c>
      <c r="M272">
        <v>5000001</v>
      </c>
      <c r="N272">
        <v>2</v>
      </c>
      <c r="O272">
        <v>5</v>
      </c>
      <c r="P272">
        <v>93</v>
      </c>
      <c r="Q272" t="str">
        <f t="shared" si="5"/>
        <v>23mh1a05l9@aect.dummy.in</v>
      </c>
    </row>
    <row r="273" spans="1:17" ht="14.4" x14ac:dyDescent="0.3">
      <c r="A273" t="s">
        <v>333</v>
      </c>
      <c r="B273" t="s">
        <v>220</v>
      </c>
      <c r="C273" t="s">
        <v>133</v>
      </c>
      <c r="D273">
        <v>5</v>
      </c>
      <c r="E273">
        <v>0</v>
      </c>
      <c r="F273">
        <v>0</v>
      </c>
      <c r="G273">
        <v>3</v>
      </c>
      <c r="H273">
        <v>5</v>
      </c>
      <c r="I273">
        <v>3</v>
      </c>
      <c r="J273">
        <v>3</v>
      </c>
      <c r="K273" t="s">
        <v>334</v>
      </c>
      <c r="L273">
        <v>21</v>
      </c>
      <c r="M273">
        <v>3214069</v>
      </c>
      <c r="N273">
        <v>0</v>
      </c>
      <c r="O273">
        <v>0</v>
      </c>
      <c r="P273">
        <v>8</v>
      </c>
      <c r="Q273" t="str">
        <f t="shared" si="5"/>
        <v>23mh1a05m0@aect.dummy.in</v>
      </c>
    </row>
    <row r="274" spans="1:17" ht="14.4" x14ac:dyDescent="0.3">
      <c r="A274" t="s">
        <v>335</v>
      </c>
      <c r="B274" t="s">
        <v>220</v>
      </c>
      <c r="C274" t="s">
        <v>133</v>
      </c>
      <c r="D274">
        <v>2</v>
      </c>
      <c r="E274">
        <v>0</v>
      </c>
      <c r="F274">
        <v>0</v>
      </c>
      <c r="G274">
        <v>0</v>
      </c>
      <c r="H274">
        <v>1</v>
      </c>
      <c r="I274">
        <v>3</v>
      </c>
      <c r="J274">
        <v>1</v>
      </c>
      <c r="K274" t="s">
        <v>71</v>
      </c>
      <c r="L274">
        <v>110</v>
      </c>
      <c r="M274">
        <v>1112372</v>
      </c>
      <c r="N274">
        <v>39</v>
      </c>
      <c r="O274">
        <v>108</v>
      </c>
      <c r="P274">
        <v>341</v>
      </c>
      <c r="Q274" t="str">
        <f t="shared" si="5"/>
        <v>23mh1a05m1@aect.dummy.in</v>
      </c>
    </row>
    <row r="275" spans="1:17" ht="14.4" x14ac:dyDescent="0.3">
      <c r="A275" t="s">
        <v>336</v>
      </c>
      <c r="B275" t="s">
        <v>220</v>
      </c>
      <c r="C275" t="s">
        <v>133</v>
      </c>
      <c r="D275">
        <v>3</v>
      </c>
      <c r="E275">
        <v>3</v>
      </c>
      <c r="F275">
        <v>3</v>
      </c>
      <c r="G275">
        <v>3</v>
      </c>
      <c r="H275">
        <v>0</v>
      </c>
      <c r="I275">
        <v>5</v>
      </c>
      <c r="J275">
        <v>0</v>
      </c>
      <c r="K275" t="s">
        <v>20</v>
      </c>
      <c r="L275">
        <v>132</v>
      </c>
      <c r="M275">
        <v>951853</v>
      </c>
      <c r="N275">
        <v>108</v>
      </c>
      <c r="O275">
        <v>283</v>
      </c>
      <c r="P275">
        <v>334</v>
      </c>
      <c r="Q275" t="str">
        <f t="shared" si="5"/>
        <v>23mh1a05m4@aect.dummy.in</v>
      </c>
    </row>
    <row r="276" spans="1:17" ht="14.4" x14ac:dyDescent="0.3">
      <c r="A276" t="s">
        <v>337</v>
      </c>
      <c r="B276" t="s">
        <v>220</v>
      </c>
      <c r="C276" t="s">
        <v>133</v>
      </c>
      <c r="D276">
        <v>2</v>
      </c>
      <c r="E276">
        <v>0</v>
      </c>
      <c r="F276">
        <v>2</v>
      </c>
      <c r="G276">
        <v>0</v>
      </c>
      <c r="H276">
        <v>0</v>
      </c>
      <c r="I276">
        <v>3</v>
      </c>
      <c r="J276">
        <v>0</v>
      </c>
      <c r="K276" t="s">
        <v>20</v>
      </c>
      <c r="L276">
        <v>74</v>
      </c>
      <c r="M276">
        <v>1516353</v>
      </c>
      <c r="N276">
        <v>2</v>
      </c>
      <c r="O276">
        <v>2</v>
      </c>
      <c r="P276">
        <v>462</v>
      </c>
      <c r="Q276" t="str">
        <f t="shared" si="5"/>
        <v>23mh1a05m8@aect.dummy.in</v>
      </c>
    </row>
    <row r="277" spans="1:17" ht="14.4" x14ac:dyDescent="0.3">
      <c r="A277" t="s">
        <v>338</v>
      </c>
      <c r="B277" t="s">
        <v>220</v>
      </c>
      <c r="C277" t="s">
        <v>133</v>
      </c>
      <c r="D277">
        <v>4</v>
      </c>
      <c r="E277">
        <v>3</v>
      </c>
      <c r="F277">
        <v>0</v>
      </c>
      <c r="G277">
        <v>0</v>
      </c>
      <c r="H277">
        <v>1</v>
      </c>
      <c r="I277">
        <v>4</v>
      </c>
      <c r="J277">
        <v>1</v>
      </c>
      <c r="K277" t="s">
        <v>339</v>
      </c>
      <c r="L277">
        <v>34</v>
      </c>
      <c r="M277">
        <v>2496175</v>
      </c>
      <c r="N277">
        <v>29</v>
      </c>
      <c r="O277">
        <v>60</v>
      </c>
      <c r="P277">
        <v>64</v>
      </c>
      <c r="Q277" t="str">
        <f t="shared" si="5"/>
        <v>23mh1a05n0@aect.dummy.in</v>
      </c>
    </row>
    <row r="278" spans="1:17" ht="14.4" x14ac:dyDescent="0.3">
      <c r="A278" t="s">
        <v>340</v>
      </c>
      <c r="B278" t="s">
        <v>220</v>
      </c>
      <c r="C278" t="s">
        <v>133</v>
      </c>
      <c r="D278">
        <v>2</v>
      </c>
      <c r="E278">
        <v>0</v>
      </c>
      <c r="F278">
        <v>0</v>
      </c>
      <c r="G278">
        <v>0</v>
      </c>
      <c r="H278">
        <v>1</v>
      </c>
      <c r="I278">
        <v>2</v>
      </c>
      <c r="J278">
        <v>2</v>
      </c>
      <c r="K278" t="s">
        <v>69</v>
      </c>
      <c r="L278">
        <v>29</v>
      </c>
      <c r="M278">
        <v>2731933</v>
      </c>
      <c r="N278">
        <v>2</v>
      </c>
      <c r="O278">
        <v>0</v>
      </c>
      <c r="P278">
        <v>61</v>
      </c>
      <c r="Q278" t="str">
        <f t="shared" si="5"/>
        <v>23mh1a05n3@aect.dummy.in</v>
      </c>
    </row>
    <row r="279" spans="1:17" ht="14.4" x14ac:dyDescent="0.3">
      <c r="A279" t="s">
        <v>341</v>
      </c>
      <c r="B279" t="s">
        <v>220</v>
      </c>
      <c r="C279" t="s">
        <v>133</v>
      </c>
      <c r="D279">
        <v>0</v>
      </c>
      <c r="E279">
        <v>0</v>
      </c>
      <c r="F279">
        <v>0</v>
      </c>
      <c r="G279">
        <v>0</v>
      </c>
      <c r="H279">
        <v>0</v>
      </c>
      <c r="I279">
        <v>1</v>
      </c>
      <c r="J279">
        <v>0</v>
      </c>
      <c r="K279" t="s">
        <v>20</v>
      </c>
      <c r="L279">
        <v>0</v>
      </c>
      <c r="M279">
        <v>5000001</v>
      </c>
      <c r="N279">
        <v>0</v>
      </c>
      <c r="O279">
        <v>0</v>
      </c>
      <c r="P279">
        <v>0</v>
      </c>
      <c r="Q279" t="str">
        <f t="shared" si="5"/>
        <v>23mh1a05n4@aect.dummy.in</v>
      </c>
    </row>
    <row r="280" spans="1:17" ht="14.4" x14ac:dyDescent="0.3">
      <c r="A280" t="s">
        <v>342</v>
      </c>
      <c r="B280" t="s">
        <v>220</v>
      </c>
      <c r="C280" t="s">
        <v>133</v>
      </c>
      <c r="D280">
        <v>0</v>
      </c>
      <c r="E280">
        <v>0</v>
      </c>
      <c r="F280">
        <v>0</v>
      </c>
      <c r="G280">
        <v>0</v>
      </c>
      <c r="H280">
        <v>0</v>
      </c>
      <c r="I280">
        <v>0</v>
      </c>
      <c r="J280">
        <v>0</v>
      </c>
      <c r="K280" t="s">
        <v>20</v>
      </c>
      <c r="L280">
        <v>0</v>
      </c>
      <c r="M280">
        <v>5000001</v>
      </c>
      <c r="N280">
        <v>0</v>
      </c>
      <c r="O280">
        <v>0</v>
      </c>
      <c r="P280">
        <v>28</v>
      </c>
      <c r="Q280" t="str">
        <f t="shared" si="5"/>
        <v>23mh1a05n5@aect.dummy.in</v>
      </c>
    </row>
    <row r="281" spans="1:17" ht="14.4" x14ac:dyDescent="0.3">
      <c r="A281" t="s">
        <v>343</v>
      </c>
      <c r="B281" t="s">
        <v>220</v>
      </c>
      <c r="C281" t="s">
        <v>133</v>
      </c>
      <c r="D281">
        <v>4</v>
      </c>
      <c r="E281">
        <v>0</v>
      </c>
      <c r="F281">
        <v>1</v>
      </c>
      <c r="G281">
        <v>2</v>
      </c>
      <c r="H281">
        <v>0</v>
      </c>
      <c r="I281">
        <v>4</v>
      </c>
      <c r="J281">
        <v>0</v>
      </c>
      <c r="K281" t="s">
        <v>20</v>
      </c>
      <c r="L281">
        <v>2</v>
      </c>
      <c r="M281">
        <v>5000001</v>
      </c>
      <c r="N281">
        <v>0</v>
      </c>
      <c r="O281">
        <v>0</v>
      </c>
      <c r="P281">
        <v>30</v>
      </c>
      <c r="Q281" t="str">
        <f t="shared" si="5"/>
        <v>23mh1a05n6@aect.dummy.in</v>
      </c>
    </row>
    <row r="282" spans="1:17" ht="14.4" x14ac:dyDescent="0.3">
      <c r="A282" t="s">
        <v>344</v>
      </c>
      <c r="B282" t="s">
        <v>220</v>
      </c>
      <c r="C282" t="s">
        <v>133</v>
      </c>
      <c r="D282">
        <v>3</v>
      </c>
      <c r="E282">
        <v>0</v>
      </c>
      <c r="F282">
        <v>1</v>
      </c>
      <c r="G282">
        <v>3</v>
      </c>
      <c r="H282">
        <v>1</v>
      </c>
      <c r="I282">
        <v>5</v>
      </c>
      <c r="J282">
        <v>0</v>
      </c>
      <c r="K282" t="s">
        <v>20</v>
      </c>
      <c r="L282">
        <v>18</v>
      </c>
      <c r="M282">
        <v>3463071</v>
      </c>
      <c r="N282">
        <v>103</v>
      </c>
      <c r="O282">
        <v>294</v>
      </c>
      <c r="P282">
        <v>421</v>
      </c>
      <c r="Q282" t="str">
        <f t="shared" si="5"/>
        <v>23mh1a05n8@aect.dummy.in</v>
      </c>
    </row>
    <row r="283" spans="1:17" ht="14.4" x14ac:dyDescent="0.3">
      <c r="A283" t="s">
        <v>345</v>
      </c>
      <c r="B283" t="s">
        <v>220</v>
      </c>
      <c r="C283" t="s">
        <v>133</v>
      </c>
      <c r="D283">
        <v>3</v>
      </c>
      <c r="E283">
        <v>0</v>
      </c>
      <c r="F283">
        <v>3</v>
      </c>
      <c r="G283">
        <v>4</v>
      </c>
      <c r="H283">
        <v>0</v>
      </c>
      <c r="I283">
        <v>3</v>
      </c>
      <c r="J283">
        <v>0</v>
      </c>
      <c r="K283" t="s">
        <v>20</v>
      </c>
      <c r="L283">
        <v>9</v>
      </c>
      <c r="M283">
        <v>4656435</v>
      </c>
      <c r="N283">
        <v>84</v>
      </c>
      <c r="O283">
        <v>262</v>
      </c>
      <c r="P283">
        <v>67</v>
      </c>
      <c r="Q283" t="str">
        <f t="shared" si="5"/>
        <v>23mh1a05o0@aect.dummy.in</v>
      </c>
    </row>
    <row r="284" spans="1:17" ht="14.4" x14ac:dyDescent="0.3">
      <c r="A284" t="s">
        <v>346</v>
      </c>
      <c r="B284" t="s">
        <v>220</v>
      </c>
      <c r="C284" t="s">
        <v>133</v>
      </c>
      <c r="D284">
        <v>4</v>
      </c>
      <c r="E284">
        <v>0</v>
      </c>
      <c r="F284">
        <v>0</v>
      </c>
      <c r="G284">
        <v>0</v>
      </c>
      <c r="H284">
        <v>0</v>
      </c>
      <c r="I284">
        <v>1</v>
      </c>
      <c r="J284">
        <v>0</v>
      </c>
      <c r="K284" t="s">
        <v>20</v>
      </c>
      <c r="L284">
        <v>8</v>
      </c>
      <c r="M284">
        <v>4859900</v>
      </c>
      <c r="N284">
        <v>1</v>
      </c>
      <c r="O284">
        <v>2</v>
      </c>
      <c r="P284">
        <v>15</v>
      </c>
      <c r="Q284" t="str">
        <f t="shared" si="5"/>
        <v>23mh1a05o1@aect.dummy.in</v>
      </c>
    </row>
    <row r="285" spans="1:17" ht="14.4" x14ac:dyDescent="0.3">
      <c r="A285" t="s">
        <v>347</v>
      </c>
      <c r="B285" t="s">
        <v>220</v>
      </c>
      <c r="C285" t="s">
        <v>133</v>
      </c>
      <c r="D285">
        <v>1</v>
      </c>
      <c r="E285">
        <v>0</v>
      </c>
      <c r="F285">
        <v>0</v>
      </c>
      <c r="G285">
        <v>0</v>
      </c>
      <c r="H285">
        <v>0</v>
      </c>
      <c r="I285">
        <v>1</v>
      </c>
      <c r="J285">
        <v>0</v>
      </c>
      <c r="K285" t="s">
        <v>20</v>
      </c>
      <c r="L285">
        <v>0</v>
      </c>
      <c r="M285">
        <v>5000001</v>
      </c>
      <c r="N285">
        <v>0</v>
      </c>
      <c r="O285">
        <v>0</v>
      </c>
      <c r="P285">
        <v>0</v>
      </c>
      <c r="Q285" t="str">
        <f t="shared" si="5"/>
        <v>23mh1a05o2@aect.dummy.in</v>
      </c>
    </row>
    <row r="286" spans="1:17" ht="14.4" x14ac:dyDescent="0.3">
      <c r="A286" t="s">
        <v>348</v>
      </c>
      <c r="B286" t="s">
        <v>220</v>
      </c>
      <c r="C286" t="s">
        <v>133</v>
      </c>
      <c r="D286">
        <v>3</v>
      </c>
      <c r="E286">
        <v>0</v>
      </c>
      <c r="F286">
        <v>0</v>
      </c>
      <c r="G286">
        <v>4</v>
      </c>
      <c r="H286">
        <v>4</v>
      </c>
      <c r="I286">
        <v>3</v>
      </c>
      <c r="J286">
        <v>2</v>
      </c>
      <c r="K286" t="s">
        <v>67</v>
      </c>
      <c r="L286">
        <v>213</v>
      </c>
      <c r="M286">
        <v>566420</v>
      </c>
      <c r="N286">
        <v>115</v>
      </c>
      <c r="O286">
        <v>295</v>
      </c>
      <c r="P286">
        <v>181</v>
      </c>
      <c r="Q286" t="str">
        <f t="shared" si="5"/>
        <v>23mh1a05o3@aect.dummy.in</v>
      </c>
    </row>
    <row r="287" spans="1:17" ht="14.4" x14ac:dyDescent="0.3">
      <c r="A287" t="s">
        <v>349</v>
      </c>
      <c r="B287" t="s">
        <v>220</v>
      </c>
      <c r="C287" t="s">
        <v>133</v>
      </c>
      <c r="D287">
        <v>0</v>
      </c>
      <c r="E287">
        <v>0</v>
      </c>
      <c r="F287">
        <v>0</v>
      </c>
      <c r="G287">
        <v>0</v>
      </c>
      <c r="H287">
        <v>0</v>
      </c>
      <c r="I287">
        <v>0</v>
      </c>
      <c r="J287">
        <v>0</v>
      </c>
      <c r="K287" t="s">
        <v>20</v>
      </c>
      <c r="L287">
        <v>0</v>
      </c>
      <c r="M287">
        <v>5000001</v>
      </c>
      <c r="N287">
        <v>0</v>
      </c>
      <c r="O287">
        <v>0</v>
      </c>
      <c r="P287">
        <v>37</v>
      </c>
      <c r="Q287" t="str">
        <f t="shared" si="5"/>
        <v>23mh1a05o5@aect.dummy.in</v>
      </c>
    </row>
    <row r="288" spans="1:17" ht="14.4" x14ac:dyDescent="0.3">
      <c r="A288" t="s">
        <v>350</v>
      </c>
      <c r="B288" t="s">
        <v>220</v>
      </c>
      <c r="C288" t="s">
        <v>133</v>
      </c>
      <c r="D288">
        <v>0</v>
      </c>
      <c r="E288">
        <v>0</v>
      </c>
      <c r="F288">
        <v>0</v>
      </c>
      <c r="G288">
        <v>0</v>
      </c>
      <c r="H288">
        <v>0</v>
      </c>
      <c r="I288">
        <v>0</v>
      </c>
      <c r="J288">
        <v>0</v>
      </c>
      <c r="K288" t="s">
        <v>20</v>
      </c>
      <c r="L288">
        <v>0</v>
      </c>
      <c r="M288">
        <v>5000001</v>
      </c>
      <c r="N288">
        <v>0</v>
      </c>
      <c r="O288">
        <v>0</v>
      </c>
      <c r="P288">
        <v>0</v>
      </c>
      <c r="Q288" t="str">
        <f t="shared" si="5"/>
        <v>23mh1a05o6@aect.dummy.in</v>
      </c>
    </row>
    <row r="289" spans="1:17" ht="14.4" x14ac:dyDescent="0.3">
      <c r="A289" t="s">
        <v>351</v>
      </c>
      <c r="B289" t="s">
        <v>220</v>
      </c>
      <c r="C289" t="s">
        <v>133</v>
      </c>
      <c r="D289">
        <v>3</v>
      </c>
      <c r="E289">
        <v>0</v>
      </c>
      <c r="F289">
        <v>0</v>
      </c>
      <c r="G289">
        <v>0</v>
      </c>
      <c r="H289">
        <v>0</v>
      </c>
      <c r="I289">
        <v>1</v>
      </c>
      <c r="J289">
        <v>0</v>
      </c>
      <c r="K289" t="s">
        <v>20</v>
      </c>
      <c r="L289">
        <v>0</v>
      </c>
      <c r="M289">
        <v>5000001</v>
      </c>
      <c r="N289">
        <v>0</v>
      </c>
      <c r="O289">
        <v>0</v>
      </c>
      <c r="P289">
        <v>0</v>
      </c>
      <c r="Q289" t="str">
        <f t="shared" si="5"/>
        <v>23mh1a05p3@aect.dummy.in</v>
      </c>
    </row>
    <row r="290" spans="1:17" ht="14.4" x14ac:dyDescent="0.3">
      <c r="A290" t="s">
        <v>352</v>
      </c>
      <c r="B290" t="s">
        <v>220</v>
      </c>
      <c r="C290" t="s">
        <v>133</v>
      </c>
      <c r="D290">
        <v>3</v>
      </c>
      <c r="E290">
        <v>0</v>
      </c>
      <c r="F290">
        <v>3</v>
      </c>
      <c r="G290">
        <v>0</v>
      </c>
      <c r="H290">
        <v>4</v>
      </c>
      <c r="I290">
        <v>3</v>
      </c>
      <c r="J290">
        <v>1</v>
      </c>
      <c r="K290" t="s">
        <v>71</v>
      </c>
      <c r="L290">
        <v>7</v>
      </c>
      <c r="M290">
        <v>5000001</v>
      </c>
      <c r="N290">
        <v>0</v>
      </c>
      <c r="O290">
        <v>0</v>
      </c>
      <c r="P290">
        <v>11</v>
      </c>
      <c r="Q290" t="str">
        <f t="shared" si="5"/>
        <v>23mh1a05p4@aect.dummy.in</v>
      </c>
    </row>
    <row r="291" spans="1:17" ht="14.4" x14ac:dyDescent="0.3">
      <c r="A291" t="s">
        <v>353</v>
      </c>
      <c r="B291" t="s">
        <v>220</v>
      </c>
      <c r="C291" t="s">
        <v>133</v>
      </c>
      <c r="D291">
        <v>0</v>
      </c>
      <c r="E291">
        <v>0</v>
      </c>
      <c r="F291">
        <v>0</v>
      </c>
      <c r="G291">
        <v>0</v>
      </c>
      <c r="H291">
        <v>0</v>
      </c>
      <c r="I291">
        <v>0</v>
      </c>
      <c r="J291">
        <v>0</v>
      </c>
      <c r="K291" t="s">
        <v>20</v>
      </c>
      <c r="L291">
        <v>0</v>
      </c>
      <c r="M291">
        <v>5000001</v>
      </c>
      <c r="N291">
        <v>0</v>
      </c>
      <c r="O291">
        <v>0</v>
      </c>
      <c r="P291">
        <v>0</v>
      </c>
      <c r="Q291" t="str">
        <f t="shared" si="5"/>
        <v>23mh1a05p9@aect.dummy.in</v>
      </c>
    </row>
    <row r="292" spans="1:17" ht="14.4" x14ac:dyDescent="0.3">
      <c r="A292" t="s">
        <v>354</v>
      </c>
      <c r="B292" t="s">
        <v>220</v>
      </c>
      <c r="C292" t="s">
        <v>133</v>
      </c>
      <c r="D292">
        <v>0</v>
      </c>
      <c r="E292">
        <v>0</v>
      </c>
      <c r="F292">
        <v>0</v>
      </c>
      <c r="G292">
        <v>0</v>
      </c>
      <c r="H292">
        <v>0</v>
      </c>
      <c r="I292">
        <v>0</v>
      </c>
      <c r="J292">
        <v>0</v>
      </c>
      <c r="K292" t="s">
        <v>20</v>
      </c>
      <c r="L292">
        <v>0</v>
      </c>
      <c r="M292">
        <v>5000001</v>
      </c>
      <c r="N292">
        <v>0</v>
      </c>
      <c r="O292">
        <v>0</v>
      </c>
      <c r="P292">
        <v>0</v>
      </c>
      <c r="Q292" t="str">
        <f t="shared" si="5"/>
        <v>23mh1a05q8@aect.dummy.in</v>
      </c>
    </row>
    <row r="293" spans="1:17" ht="14.4" x14ac:dyDescent="0.3">
      <c r="A293" t="s">
        <v>355</v>
      </c>
      <c r="B293" t="s">
        <v>220</v>
      </c>
      <c r="C293" t="s">
        <v>133</v>
      </c>
      <c r="D293">
        <v>0</v>
      </c>
      <c r="E293">
        <v>0</v>
      </c>
      <c r="F293">
        <v>0</v>
      </c>
      <c r="G293">
        <v>0</v>
      </c>
      <c r="H293">
        <v>0</v>
      </c>
      <c r="I293">
        <v>0</v>
      </c>
      <c r="J293">
        <v>0</v>
      </c>
      <c r="K293" t="s">
        <v>20</v>
      </c>
      <c r="L293">
        <v>1</v>
      </c>
      <c r="M293">
        <v>5000001</v>
      </c>
      <c r="N293">
        <v>0</v>
      </c>
      <c r="O293">
        <v>0</v>
      </c>
      <c r="P293">
        <v>116</v>
      </c>
      <c r="Q293" t="str">
        <f t="shared" si="5"/>
        <v>23mh1a05r1@aect.dummy.in</v>
      </c>
    </row>
    <row r="294" spans="1:17" ht="14.4" x14ac:dyDescent="0.3">
      <c r="A294" t="s">
        <v>356</v>
      </c>
      <c r="B294" t="s">
        <v>220</v>
      </c>
      <c r="C294" t="s">
        <v>133</v>
      </c>
      <c r="D294">
        <v>0</v>
      </c>
      <c r="E294">
        <v>0</v>
      </c>
      <c r="F294">
        <v>0</v>
      </c>
      <c r="G294">
        <v>0</v>
      </c>
      <c r="H294">
        <v>2</v>
      </c>
      <c r="I294">
        <v>1</v>
      </c>
      <c r="J294">
        <v>1</v>
      </c>
      <c r="K294" t="s">
        <v>90</v>
      </c>
      <c r="L294">
        <v>59</v>
      </c>
      <c r="M294">
        <v>1775200</v>
      </c>
      <c r="N294">
        <v>1</v>
      </c>
      <c r="O294">
        <v>0</v>
      </c>
      <c r="P294">
        <v>652</v>
      </c>
      <c r="Q294" t="str">
        <f t="shared" si="5"/>
        <v>23mh1a05r5@aect.dummy.in</v>
      </c>
    </row>
    <row r="295" spans="1:17" ht="14.4" x14ac:dyDescent="0.3">
      <c r="A295" t="s">
        <v>357</v>
      </c>
      <c r="B295" t="s">
        <v>220</v>
      </c>
      <c r="C295" t="s">
        <v>133</v>
      </c>
      <c r="D295">
        <v>0</v>
      </c>
      <c r="E295">
        <v>0</v>
      </c>
      <c r="F295">
        <v>0</v>
      </c>
      <c r="G295">
        <v>0</v>
      </c>
      <c r="H295">
        <v>4</v>
      </c>
      <c r="I295">
        <v>1</v>
      </c>
      <c r="J295">
        <v>1</v>
      </c>
      <c r="K295" t="s">
        <v>71</v>
      </c>
      <c r="L295">
        <v>6</v>
      </c>
      <c r="M295">
        <v>5000001</v>
      </c>
      <c r="N295">
        <v>0</v>
      </c>
      <c r="O295">
        <v>0</v>
      </c>
      <c r="P295">
        <v>194</v>
      </c>
      <c r="Q295" t="str">
        <f t="shared" si="5"/>
        <v>23mh1a05s5@aect.dummy.in</v>
      </c>
    </row>
    <row r="296" spans="1:17" ht="14.4" x14ac:dyDescent="0.3">
      <c r="A296" t="s">
        <v>358</v>
      </c>
      <c r="B296" t="s">
        <v>220</v>
      </c>
      <c r="C296" t="s">
        <v>133</v>
      </c>
      <c r="D296">
        <v>0</v>
      </c>
      <c r="E296">
        <v>0</v>
      </c>
      <c r="F296">
        <v>0</v>
      </c>
      <c r="G296">
        <v>0</v>
      </c>
      <c r="H296">
        <v>0</v>
      </c>
      <c r="I296">
        <v>0</v>
      </c>
      <c r="J296">
        <v>0</v>
      </c>
      <c r="K296" t="s">
        <v>20</v>
      </c>
      <c r="L296">
        <v>0</v>
      </c>
      <c r="M296">
        <v>5000001</v>
      </c>
      <c r="N296">
        <v>0</v>
      </c>
      <c r="O296">
        <v>0</v>
      </c>
      <c r="P296">
        <v>0</v>
      </c>
      <c r="Q296" t="str">
        <f t="shared" si="5"/>
        <v>23mh1a1201@aect.dummy.in</v>
      </c>
    </row>
    <row r="297" spans="1:17" ht="14.4" x14ac:dyDescent="0.3">
      <c r="A297" t="s">
        <v>359</v>
      </c>
      <c r="B297" t="s">
        <v>220</v>
      </c>
      <c r="C297" t="s">
        <v>133</v>
      </c>
      <c r="D297">
        <v>0</v>
      </c>
      <c r="E297">
        <v>0</v>
      </c>
      <c r="F297">
        <v>2</v>
      </c>
      <c r="G297">
        <v>1</v>
      </c>
      <c r="H297">
        <v>3</v>
      </c>
      <c r="I297">
        <v>4</v>
      </c>
      <c r="J297">
        <v>2</v>
      </c>
      <c r="K297" t="s">
        <v>67</v>
      </c>
      <c r="L297">
        <v>42</v>
      </c>
      <c r="M297">
        <v>2208799</v>
      </c>
      <c r="N297">
        <v>0</v>
      </c>
      <c r="O297">
        <v>0</v>
      </c>
      <c r="P297">
        <v>135</v>
      </c>
      <c r="Q297" t="str">
        <f t="shared" si="5"/>
        <v>23mh1a1220@aect.dummy.in</v>
      </c>
    </row>
    <row r="298" spans="1:17" ht="14.4" x14ac:dyDescent="0.3">
      <c r="A298" t="s">
        <v>360</v>
      </c>
      <c r="B298" t="s">
        <v>220</v>
      </c>
      <c r="C298" t="s">
        <v>133</v>
      </c>
      <c r="D298">
        <v>0</v>
      </c>
      <c r="E298">
        <v>0</v>
      </c>
      <c r="F298">
        <v>0</v>
      </c>
      <c r="G298">
        <v>2</v>
      </c>
      <c r="H298">
        <v>0</v>
      </c>
      <c r="I298">
        <v>1</v>
      </c>
      <c r="J298">
        <v>0</v>
      </c>
      <c r="K298" t="s">
        <v>20</v>
      </c>
      <c r="L298">
        <v>4</v>
      </c>
      <c r="M298">
        <v>5000001</v>
      </c>
      <c r="N298">
        <v>8</v>
      </c>
      <c r="O298">
        <v>15</v>
      </c>
      <c r="P298">
        <v>234</v>
      </c>
      <c r="Q298" t="str">
        <f t="shared" si="5"/>
        <v>23mh1a1227@aect.dummy.in</v>
      </c>
    </row>
    <row r="299" spans="1:17" ht="14.4" x14ac:dyDescent="0.3">
      <c r="A299" t="s">
        <v>361</v>
      </c>
      <c r="B299" t="s">
        <v>220</v>
      </c>
      <c r="C299" t="s">
        <v>133</v>
      </c>
      <c r="D299">
        <v>0</v>
      </c>
      <c r="E299">
        <v>0</v>
      </c>
      <c r="F299">
        <v>3</v>
      </c>
      <c r="G299">
        <v>0</v>
      </c>
      <c r="H299">
        <v>0</v>
      </c>
      <c r="I299">
        <v>1</v>
      </c>
      <c r="J299">
        <v>0</v>
      </c>
      <c r="K299" t="s">
        <v>20</v>
      </c>
      <c r="L299">
        <v>34</v>
      </c>
      <c r="M299">
        <v>2500747</v>
      </c>
      <c r="N299">
        <v>1</v>
      </c>
      <c r="O299">
        <v>0</v>
      </c>
      <c r="P299">
        <v>182</v>
      </c>
      <c r="Q299" t="str">
        <f t="shared" si="5"/>
        <v>23mh1a1241@aect.dummy.in</v>
      </c>
    </row>
    <row r="300" spans="1:17" ht="14.4" x14ac:dyDescent="0.3">
      <c r="A300" t="s">
        <v>362</v>
      </c>
      <c r="B300" t="s">
        <v>220</v>
      </c>
      <c r="C300" t="s">
        <v>133</v>
      </c>
      <c r="D300">
        <v>5</v>
      </c>
      <c r="E300">
        <v>0</v>
      </c>
      <c r="F300">
        <v>2</v>
      </c>
      <c r="G300">
        <v>3</v>
      </c>
      <c r="H300">
        <v>5</v>
      </c>
      <c r="I300">
        <v>5</v>
      </c>
      <c r="J300">
        <v>4</v>
      </c>
      <c r="K300" t="s">
        <v>363</v>
      </c>
      <c r="L300">
        <v>137</v>
      </c>
      <c r="M300">
        <v>912242</v>
      </c>
      <c r="N300">
        <v>98</v>
      </c>
      <c r="O300">
        <v>371</v>
      </c>
      <c r="P300">
        <v>668</v>
      </c>
      <c r="Q300" t="str">
        <f t="shared" si="5"/>
        <v>23mh1a1242@aect.dummy.in</v>
      </c>
    </row>
    <row r="301" spans="1:17" ht="14.4" x14ac:dyDescent="0.3">
      <c r="A301" t="s">
        <v>364</v>
      </c>
      <c r="B301" t="s">
        <v>220</v>
      </c>
      <c r="C301" t="s">
        <v>133</v>
      </c>
      <c r="D301">
        <v>0</v>
      </c>
      <c r="E301">
        <v>0</v>
      </c>
      <c r="F301">
        <v>0</v>
      </c>
      <c r="G301">
        <v>0</v>
      </c>
      <c r="H301">
        <v>0</v>
      </c>
      <c r="I301">
        <v>0</v>
      </c>
      <c r="J301">
        <v>1</v>
      </c>
      <c r="K301" t="s">
        <v>247</v>
      </c>
      <c r="L301">
        <v>0</v>
      </c>
      <c r="M301">
        <v>5000001</v>
      </c>
      <c r="N301">
        <v>0</v>
      </c>
      <c r="O301">
        <v>0</v>
      </c>
      <c r="P301">
        <v>0</v>
      </c>
      <c r="Q301" t="str">
        <f t="shared" si="5"/>
        <v>23mh1a1249@aect.dummy.in</v>
      </c>
    </row>
    <row r="302" spans="1:17" ht="14.4" x14ac:dyDescent="0.3">
      <c r="A302" t="s">
        <v>365</v>
      </c>
      <c r="B302" t="s">
        <v>220</v>
      </c>
      <c r="C302" t="s">
        <v>133</v>
      </c>
      <c r="D302">
        <v>2</v>
      </c>
      <c r="E302">
        <v>0</v>
      </c>
      <c r="F302">
        <v>1</v>
      </c>
      <c r="G302">
        <v>0</v>
      </c>
      <c r="H302">
        <v>5</v>
      </c>
      <c r="I302">
        <v>3</v>
      </c>
      <c r="J302">
        <v>3</v>
      </c>
      <c r="K302" t="s">
        <v>120</v>
      </c>
      <c r="L302">
        <v>59</v>
      </c>
      <c r="M302">
        <v>1775969</v>
      </c>
      <c r="N302">
        <v>71</v>
      </c>
      <c r="O302">
        <v>91</v>
      </c>
      <c r="P302">
        <v>129</v>
      </c>
      <c r="Q302" t="str">
        <f t="shared" si="5"/>
        <v>23mh1a1252@aect.dummy.in</v>
      </c>
    </row>
    <row r="303" spans="1:17" ht="14.4" x14ac:dyDescent="0.3">
      <c r="A303" t="s">
        <v>366</v>
      </c>
      <c r="B303" t="s">
        <v>220</v>
      </c>
      <c r="C303" t="s">
        <v>133</v>
      </c>
      <c r="D303">
        <v>0</v>
      </c>
      <c r="E303">
        <v>0</v>
      </c>
      <c r="F303">
        <v>0</v>
      </c>
      <c r="G303">
        <v>0</v>
      </c>
      <c r="H303">
        <v>3</v>
      </c>
      <c r="I303">
        <v>1</v>
      </c>
      <c r="J303">
        <v>1</v>
      </c>
      <c r="K303" t="s">
        <v>71</v>
      </c>
      <c r="L303">
        <v>6</v>
      </c>
      <c r="M303">
        <v>5000001</v>
      </c>
      <c r="N303">
        <v>0</v>
      </c>
      <c r="O303">
        <v>0</v>
      </c>
      <c r="P303">
        <v>0</v>
      </c>
      <c r="Q303" t="str">
        <f t="shared" si="5"/>
        <v>23mh1a1254@aect.dummy.in</v>
      </c>
    </row>
    <row r="304" spans="1:17" ht="14.4" x14ac:dyDescent="0.3">
      <c r="A304" t="s">
        <v>367</v>
      </c>
      <c r="B304" t="s">
        <v>220</v>
      </c>
      <c r="C304" t="s">
        <v>133</v>
      </c>
      <c r="D304">
        <v>3</v>
      </c>
      <c r="E304">
        <v>0</v>
      </c>
      <c r="F304">
        <v>2</v>
      </c>
      <c r="G304">
        <v>2</v>
      </c>
      <c r="H304">
        <v>4</v>
      </c>
      <c r="I304">
        <v>5</v>
      </c>
      <c r="J304">
        <v>4</v>
      </c>
      <c r="K304" t="s">
        <v>368</v>
      </c>
      <c r="L304">
        <v>65</v>
      </c>
      <c r="M304">
        <v>1660917</v>
      </c>
      <c r="N304">
        <v>3</v>
      </c>
      <c r="O304">
        <v>6</v>
      </c>
      <c r="P304">
        <v>142</v>
      </c>
      <c r="Q304" t="str">
        <f t="shared" si="5"/>
        <v>23mh1a4206@aect.dummy.in</v>
      </c>
    </row>
    <row r="305" spans="1:17" ht="14.4" x14ac:dyDescent="0.3">
      <c r="A305" t="s">
        <v>369</v>
      </c>
      <c r="B305" t="s">
        <v>220</v>
      </c>
      <c r="C305" t="s">
        <v>133</v>
      </c>
      <c r="D305">
        <v>0</v>
      </c>
      <c r="E305">
        <v>0</v>
      </c>
      <c r="F305">
        <v>2</v>
      </c>
      <c r="G305">
        <v>3</v>
      </c>
      <c r="H305">
        <v>4</v>
      </c>
      <c r="I305">
        <v>4</v>
      </c>
      <c r="J305">
        <v>1</v>
      </c>
      <c r="K305" t="s">
        <v>71</v>
      </c>
      <c r="L305">
        <v>65</v>
      </c>
      <c r="M305">
        <v>1661830</v>
      </c>
      <c r="N305">
        <v>0</v>
      </c>
      <c r="O305">
        <v>0</v>
      </c>
      <c r="P305">
        <v>328</v>
      </c>
      <c r="Q305" t="str">
        <f t="shared" si="5"/>
        <v>23mh1a4207@aect.dummy.in</v>
      </c>
    </row>
    <row r="306" spans="1:17" ht="14.4" x14ac:dyDescent="0.3">
      <c r="A306" t="s">
        <v>370</v>
      </c>
      <c r="B306" t="s">
        <v>220</v>
      </c>
      <c r="C306" t="s">
        <v>133</v>
      </c>
      <c r="D306">
        <v>0</v>
      </c>
      <c r="E306">
        <v>0</v>
      </c>
      <c r="F306">
        <v>0</v>
      </c>
      <c r="G306">
        <v>1</v>
      </c>
      <c r="H306">
        <v>5</v>
      </c>
      <c r="I306">
        <v>2</v>
      </c>
      <c r="J306">
        <v>1</v>
      </c>
      <c r="K306" t="s">
        <v>71</v>
      </c>
      <c r="L306">
        <v>55</v>
      </c>
      <c r="M306">
        <v>1857743</v>
      </c>
      <c r="N306">
        <v>9</v>
      </c>
      <c r="O306">
        <v>16</v>
      </c>
      <c r="P306">
        <v>92</v>
      </c>
      <c r="Q306" t="str">
        <f t="shared" si="5"/>
        <v>23mh1a4209@aect.dummy.in</v>
      </c>
    </row>
    <row r="307" spans="1:17" ht="14.4" x14ac:dyDescent="0.3">
      <c r="A307" t="s">
        <v>371</v>
      </c>
      <c r="B307" t="s">
        <v>220</v>
      </c>
      <c r="C307" t="s">
        <v>133</v>
      </c>
      <c r="D307">
        <v>5</v>
      </c>
      <c r="E307">
        <v>0</v>
      </c>
      <c r="F307">
        <v>5</v>
      </c>
      <c r="G307">
        <v>5</v>
      </c>
      <c r="H307">
        <v>0</v>
      </c>
      <c r="I307">
        <v>4</v>
      </c>
      <c r="J307">
        <v>1</v>
      </c>
      <c r="K307" t="s">
        <v>71</v>
      </c>
      <c r="L307">
        <v>164</v>
      </c>
      <c r="M307">
        <v>760157</v>
      </c>
      <c r="N307">
        <v>80</v>
      </c>
      <c r="O307">
        <v>267</v>
      </c>
      <c r="P307">
        <v>22</v>
      </c>
      <c r="Q307" t="str">
        <f t="shared" si="5"/>
        <v>23mh1a4216@aect.dummy.in</v>
      </c>
    </row>
    <row r="308" spans="1:17" ht="14.4" x14ac:dyDescent="0.3">
      <c r="A308" t="s">
        <v>372</v>
      </c>
      <c r="B308" t="s">
        <v>220</v>
      </c>
      <c r="C308" t="s">
        <v>133</v>
      </c>
      <c r="D308">
        <v>3</v>
      </c>
      <c r="E308">
        <v>0</v>
      </c>
      <c r="F308">
        <v>0</v>
      </c>
      <c r="G308">
        <v>0</v>
      </c>
      <c r="H308">
        <v>2</v>
      </c>
      <c r="I308">
        <v>2</v>
      </c>
      <c r="J308">
        <v>2</v>
      </c>
      <c r="K308" t="s">
        <v>67</v>
      </c>
      <c r="L308">
        <v>52</v>
      </c>
      <c r="M308">
        <v>1928477</v>
      </c>
      <c r="N308">
        <v>1</v>
      </c>
      <c r="O308">
        <v>0</v>
      </c>
      <c r="P308">
        <v>120</v>
      </c>
      <c r="Q308" t="str">
        <f t="shared" si="5"/>
        <v>23mh1a4217@aect.dummy.in</v>
      </c>
    </row>
    <row r="309" spans="1:17" ht="14.4" x14ac:dyDescent="0.3">
      <c r="A309" t="s">
        <v>373</v>
      </c>
      <c r="B309" t="s">
        <v>220</v>
      </c>
      <c r="C309" t="s">
        <v>133</v>
      </c>
      <c r="D309">
        <v>0</v>
      </c>
      <c r="E309">
        <v>0</v>
      </c>
      <c r="F309">
        <v>0</v>
      </c>
      <c r="G309">
        <v>0</v>
      </c>
      <c r="H309">
        <v>2</v>
      </c>
      <c r="I309">
        <v>1</v>
      </c>
      <c r="J309">
        <v>1</v>
      </c>
      <c r="K309" t="s">
        <v>71</v>
      </c>
      <c r="L309">
        <v>23</v>
      </c>
      <c r="M309">
        <v>3071864</v>
      </c>
      <c r="N309">
        <v>1</v>
      </c>
      <c r="O309">
        <v>2</v>
      </c>
      <c r="P309">
        <v>0</v>
      </c>
      <c r="Q309" t="str">
        <f t="shared" si="5"/>
        <v>23mh1a4218@aect.dummy.in</v>
      </c>
    </row>
    <row r="310" spans="1:17" ht="14.4" x14ac:dyDescent="0.3">
      <c r="A310" t="s">
        <v>374</v>
      </c>
      <c r="B310" t="s">
        <v>220</v>
      </c>
      <c r="C310" t="s">
        <v>133</v>
      </c>
      <c r="D310">
        <v>4</v>
      </c>
      <c r="E310">
        <v>0</v>
      </c>
      <c r="F310">
        <v>3</v>
      </c>
      <c r="G310">
        <v>3</v>
      </c>
      <c r="H310">
        <v>4</v>
      </c>
      <c r="I310">
        <v>5</v>
      </c>
      <c r="J310">
        <v>1</v>
      </c>
      <c r="K310" t="s">
        <v>71</v>
      </c>
      <c r="L310">
        <v>96</v>
      </c>
      <c r="M310">
        <v>1246779</v>
      </c>
      <c r="N310">
        <v>38</v>
      </c>
      <c r="O310">
        <v>60</v>
      </c>
      <c r="P310">
        <v>510</v>
      </c>
      <c r="Q310" t="str">
        <f t="shared" si="5"/>
        <v>23mh1a4224@aect.dummy.in</v>
      </c>
    </row>
    <row r="311" spans="1:17" ht="14.4" x14ac:dyDescent="0.3">
      <c r="A311" t="s">
        <v>375</v>
      </c>
      <c r="B311" t="s">
        <v>220</v>
      </c>
      <c r="C311" t="s">
        <v>133</v>
      </c>
      <c r="D311">
        <v>2</v>
      </c>
      <c r="E311">
        <v>0</v>
      </c>
      <c r="F311">
        <v>0</v>
      </c>
      <c r="G311">
        <v>2</v>
      </c>
      <c r="H311">
        <v>5</v>
      </c>
      <c r="I311">
        <v>4</v>
      </c>
      <c r="J311">
        <v>1</v>
      </c>
      <c r="K311" t="s">
        <v>90</v>
      </c>
      <c r="L311">
        <v>131</v>
      </c>
      <c r="M311">
        <v>951927</v>
      </c>
      <c r="N311">
        <v>8</v>
      </c>
      <c r="O311">
        <v>36</v>
      </c>
      <c r="P311">
        <v>109</v>
      </c>
      <c r="Q311" t="str">
        <f t="shared" si="5"/>
        <v>23mh1a4225@aect.dummy.in</v>
      </c>
    </row>
    <row r="312" spans="1:17" ht="14.4" x14ac:dyDescent="0.3">
      <c r="A312" t="s">
        <v>376</v>
      </c>
      <c r="B312" t="s">
        <v>220</v>
      </c>
      <c r="C312" t="s">
        <v>143</v>
      </c>
      <c r="D312">
        <v>0</v>
      </c>
      <c r="E312">
        <v>0</v>
      </c>
      <c r="F312">
        <v>0</v>
      </c>
      <c r="G312">
        <v>0</v>
      </c>
      <c r="H312">
        <v>0</v>
      </c>
      <c r="I312">
        <v>0</v>
      </c>
      <c r="J312">
        <v>0</v>
      </c>
      <c r="K312" t="s">
        <v>20</v>
      </c>
      <c r="L312">
        <v>1</v>
      </c>
      <c r="M312">
        <v>5000001</v>
      </c>
      <c r="N312">
        <v>0</v>
      </c>
      <c r="O312">
        <v>0</v>
      </c>
      <c r="P312">
        <v>625</v>
      </c>
      <c r="Q312" t="str">
        <f t="shared" si="5"/>
        <v>23mh1a4226@aect.dummy.in</v>
      </c>
    </row>
    <row r="313" spans="1:17" ht="14.4" x14ac:dyDescent="0.3">
      <c r="A313" t="s">
        <v>377</v>
      </c>
      <c r="B313" t="s">
        <v>220</v>
      </c>
      <c r="C313" t="s">
        <v>143</v>
      </c>
      <c r="D313">
        <v>4</v>
      </c>
      <c r="E313">
        <v>0</v>
      </c>
      <c r="F313">
        <v>0</v>
      </c>
      <c r="G313">
        <v>0</v>
      </c>
      <c r="H313">
        <v>4</v>
      </c>
      <c r="I313">
        <v>3</v>
      </c>
      <c r="J313">
        <v>2</v>
      </c>
      <c r="K313" t="s">
        <v>67</v>
      </c>
      <c r="L313">
        <v>253</v>
      </c>
      <c r="M313">
        <v>454589</v>
      </c>
      <c r="N313">
        <v>315</v>
      </c>
      <c r="O313">
        <v>949</v>
      </c>
      <c r="P313">
        <v>494</v>
      </c>
      <c r="Q313" t="str">
        <f t="shared" si="5"/>
        <v>23mh1a4227@aect.dummy.in</v>
      </c>
    </row>
    <row r="314" spans="1:17" ht="14.4" x14ac:dyDescent="0.3">
      <c r="A314" t="s">
        <v>378</v>
      </c>
      <c r="B314" t="s">
        <v>220</v>
      </c>
      <c r="C314" t="s">
        <v>143</v>
      </c>
      <c r="D314">
        <v>3</v>
      </c>
      <c r="E314">
        <v>3</v>
      </c>
      <c r="F314">
        <v>1</v>
      </c>
      <c r="G314">
        <v>1</v>
      </c>
      <c r="H314">
        <v>5</v>
      </c>
      <c r="I314">
        <v>6</v>
      </c>
      <c r="J314">
        <v>2</v>
      </c>
      <c r="K314" t="s">
        <v>67</v>
      </c>
      <c r="L314">
        <v>263</v>
      </c>
      <c r="M314">
        <v>431448</v>
      </c>
      <c r="N314">
        <v>223</v>
      </c>
      <c r="O314">
        <v>365</v>
      </c>
      <c r="P314">
        <v>464</v>
      </c>
      <c r="Q314" t="str">
        <f t="shared" ref="Q314:Q377" si="6">LOWER(A314) &amp;"@aect.dummy.in"</f>
        <v>23mh1a4228@aect.dummy.in</v>
      </c>
    </row>
    <row r="315" spans="1:17" ht="14.4" x14ac:dyDescent="0.3">
      <c r="A315" t="s">
        <v>379</v>
      </c>
      <c r="B315" t="s">
        <v>220</v>
      </c>
      <c r="C315" t="s">
        <v>143</v>
      </c>
      <c r="D315">
        <v>0</v>
      </c>
      <c r="E315">
        <v>0</v>
      </c>
      <c r="F315">
        <v>0</v>
      </c>
      <c r="G315">
        <v>0</v>
      </c>
      <c r="H315">
        <v>0</v>
      </c>
      <c r="I315">
        <v>0</v>
      </c>
      <c r="J315">
        <v>0</v>
      </c>
      <c r="K315" t="s">
        <v>20</v>
      </c>
      <c r="L315">
        <v>56</v>
      </c>
      <c r="M315">
        <v>1836617</v>
      </c>
      <c r="N315">
        <v>1</v>
      </c>
      <c r="O315">
        <v>2</v>
      </c>
      <c r="P315">
        <v>222</v>
      </c>
      <c r="Q315" t="str">
        <f t="shared" si="6"/>
        <v>23mh1a4229@aect.dummy.in</v>
      </c>
    </row>
    <row r="316" spans="1:17" ht="14.4" x14ac:dyDescent="0.3">
      <c r="A316" t="s">
        <v>380</v>
      </c>
      <c r="B316" t="s">
        <v>220</v>
      </c>
      <c r="C316" t="s">
        <v>143</v>
      </c>
      <c r="D316">
        <v>2</v>
      </c>
      <c r="E316">
        <v>0</v>
      </c>
      <c r="F316">
        <v>4</v>
      </c>
      <c r="G316">
        <v>2</v>
      </c>
      <c r="H316">
        <v>5</v>
      </c>
      <c r="I316">
        <v>5</v>
      </c>
      <c r="J316">
        <v>1</v>
      </c>
      <c r="K316" t="s">
        <v>71</v>
      </c>
      <c r="L316">
        <v>53</v>
      </c>
      <c r="M316">
        <v>1904265</v>
      </c>
      <c r="N316">
        <v>2</v>
      </c>
      <c r="O316">
        <v>1</v>
      </c>
      <c r="P316">
        <v>286</v>
      </c>
      <c r="Q316" t="str">
        <f t="shared" si="6"/>
        <v>23mh1a4234@aect.dummy.in</v>
      </c>
    </row>
    <row r="317" spans="1:17" ht="14.4" x14ac:dyDescent="0.3">
      <c r="A317" t="s">
        <v>381</v>
      </c>
      <c r="B317" t="s">
        <v>220</v>
      </c>
      <c r="C317" t="s">
        <v>143</v>
      </c>
      <c r="D317">
        <v>5</v>
      </c>
      <c r="E317">
        <v>0</v>
      </c>
      <c r="F317">
        <v>4</v>
      </c>
      <c r="G317">
        <v>0</v>
      </c>
      <c r="H317">
        <v>0</v>
      </c>
      <c r="I317">
        <v>3</v>
      </c>
      <c r="J317">
        <v>1</v>
      </c>
      <c r="K317" t="s">
        <v>71</v>
      </c>
      <c r="L317">
        <v>122</v>
      </c>
      <c r="M317">
        <v>1016019</v>
      </c>
      <c r="N317">
        <v>75</v>
      </c>
      <c r="O317">
        <v>257</v>
      </c>
      <c r="P317">
        <v>0</v>
      </c>
      <c r="Q317" t="str">
        <f t="shared" si="6"/>
        <v>23mh1a4235@aect.dummy.in</v>
      </c>
    </row>
    <row r="318" spans="1:17" ht="14.4" x14ac:dyDescent="0.3">
      <c r="A318" t="s">
        <v>382</v>
      </c>
      <c r="B318" t="s">
        <v>220</v>
      </c>
      <c r="C318" t="s">
        <v>143</v>
      </c>
      <c r="D318">
        <v>5</v>
      </c>
      <c r="E318">
        <v>0</v>
      </c>
      <c r="F318">
        <v>5</v>
      </c>
      <c r="G318">
        <v>5</v>
      </c>
      <c r="H318">
        <v>5</v>
      </c>
      <c r="I318">
        <v>5</v>
      </c>
      <c r="J318">
        <v>1</v>
      </c>
      <c r="K318" t="s">
        <v>71</v>
      </c>
      <c r="L318">
        <v>302</v>
      </c>
      <c r="M318">
        <v>355303</v>
      </c>
      <c r="N318">
        <v>0</v>
      </c>
      <c r="O318">
        <v>0</v>
      </c>
      <c r="P318">
        <v>157</v>
      </c>
      <c r="Q318" t="str">
        <f t="shared" si="6"/>
        <v>23mh1a4236@aect.dummy.in</v>
      </c>
    </row>
    <row r="319" spans="1:17" ht="14.4" x14ac:dyDescent="0.3">
      <c r="A319" t="s">
        <v>383</v>
      </c>
      <c r="B319" t="s">
        <v>220</v>
      </c>
      <c r="C319" t="s">
        <v>143</v>
      </c>
      <c r="D319">
        <v>0</v>
      </c>
      <c r="E319">
        <v>0</v>
      </c>
      <c r="F319">
        <v>0</v>
      </c>
      <c r="G319">
        <v>0</v>
      </c>
      <c r="H319">
        <v>3</v>
      </c>
      <c r="I319">
        <v>2</v>
      </c>
      <c r="J319">
        <v>2</v>
      </c>
      <c r="K319" t="s">
        <v>67</v>
      </c>
      <c r="L319">
        <v>29</v>
      </c>
      <c r="M319">
        <v>2726715</v>
      </c>
      <c r="N319">
        <v>0</v>
      </c>
      <c r="O319">
        <v>0</v>
      </c>
      <c r="P319">
        <v>166</v>
      </c>
      <c r="Q319" t="str">
        <f t="shared" si="6"/>
        <v>23mh1a4238@aect.dummy.in</v>
      </c>
    </row>
    <row r="320" spans="1:17" ht="14.4" x14ac:dyDescent="0.3">
      <c r="A320" t="s">
        <v>384</v>
      </c>
      <c r="B320" t="s">
        <v>220</v>
      </c>
      <c r="C320" t="s">
        <v>143</v>
      </c>
      <c r="D320">
        <v>4</v>
      </c>
      <c r="E320">
        <v>0</v>
      </c>
      <c r="F320">
        <v>2</v>
      </c>
      <c r="G320">
        <v>1</v>
      </c>
      <c r="H320">
        <v>4</v>
      </c>
      <c r="I320">
        <v>4</v>
      </c>
      <c r="J320">
        <v>0</v>
      </c>
      <c r="K320" t="s">
        <v>20</v>
      </c>
      <c r="L320">
        <v>18</v>
      </c>
      <c r="M320">
        <v>3457485</v>
      </c>
      <c r="N320">
        <v>1</v>
      </c>
      <c r="O320">
        <v>0</v>
      </c>
      <c r="P320">
        <v>132</v>
      </c>
      <c r="Q320" t="str">
        <f t="shared" si="6"/>
        <v>23mh1a4243@aect.dummy.in</v>
      </c>
    </row>
    <row r="321" spans="1:17" ht="14.4" x14ac:dyDescent="0.3">
      <c r="A321" t="s">
        <v>385</v>
      </c>
      <c r="B321" t="s">
        <v>220</v>
      </c>
      <c r="C321" t="s">
        <v>143</v>
      </c>
      <c r="D321">
        <v>0</v>
      </c>
      <c r="E321">
        <v>0</v>
      </c>
      <c r="F321">
        <v>0</v>
      </c>
      <c r="G321">
        <v>0</v>
      </c>
      <c r="H321">
        <v>3</v>
      </c>
      <c r="I321">
        <v>1</v>
      </c>
      <c r="J321">
        <v>2</v>
      </c>
      <c r="K321" t="s">
        <v>67</v>
      </c>
      <c r="L321">
        <v>4</v>
      </c>
      <c r="M321">
        <v>5000001</v>
      </c>
      <c r="N321">
        <v>0</v>
      </c>
      <c r="O321">
        <v>0</v>
      </c>
      <c r="P321">
        <v>2</v>
      </c>
      <c r="Q321" t="str">
        <f t="shared" si="6"/>
        <v>23mh1a4244@aect.dummy.in</v>
      </c>
    </row>
    <row r="322" spans="1:17" ht="14.4" x14ac:dyDescent="0.3">
      <c r="A322" t="s">
        <v>386</v>
      </c>
      <c r="B322" t="s">
        <v>220</v>
      </c>
      <c r="C322" t="s">
        <v>143</v>
      </c>
      <c r="D322">
        <v>3</v>
      </c>
      <c r="E322">
        <v>0</v>
      </c>
      <c r="F322">
        <v>0</v>
      </c>
      <c r="G322">
        <v>2</v>
      </c>
      <c r="H322">
        <v>3</v>
      </c>
      <c r="I322">
        <v>3</v>
      </c>
      <c r="J322">
        <v>2</v>
      </c>
      <c r="K322" t="s">
        <v>67</v>
      </c>
      <c r="L322">
        <v>266</v>
      </c>
      <c r="M322">
        <v>424724</v>
      </c>
      <c r="N322">
        <v>150</v>
      </c>
      <c r="O322">
        <v>418</v>
      </c>
      <c r="P322">
        <v>205</v>
      </c>
      <c r="Q322" t="str">
        <f t="shared" si="6"/>
        <v>23mh1a4249@aect.dummy.in</v>
      </c>
    </row>
    <row r="323" spans="1:17" ht="14.4" x14ac:dyDescent="0.3">
      <c r="A323" t="s">
        <v>387</v>
      </c>
      <c r="B323" t="s">
        <v>220</v>
      </c>
      <c r="C323" t="s">
        <v>143</v>
      </c>
      <c r="D323">
        <v>0</v>
      </c>
      <c r="E323">
        <v>0</v>
      </c>
      <c r="F323">
        <v>2</v>
      </c>
      <c r="G323">
        <v>0</v>
      </c>
      <c r="H323">
        <v>0</v>
      </c>
      <c r="I323">
        <v>2</v>
      </c>
      <c r="J323">
        <v>0</v>
      </c>
      <c r="K323" t="s">
        <v>20</v>
      </c>
      <c r="L323">
        <v>29</v>
      </c>
      <c r="M323">
        <v>2727006</v>
      </c>
      <c r="N323">
        <v>14</v>
      </c>
      <c r="O323">
        <v>20</v>
      </c>
      <c r="P323">
        <v>612</v>
      </c>
      <c r="Q323" t="str">
        <f t="shared" si="6"/>
        <v>23mh1a4250@aect.dummy.in</v>
      </c>
    </row>
    <row r="324" spans="1:17" ht="14.4" x14ac:dyDescent="0.3">
      <c r="A324" t="s">
        <v>388</v>
      </c>
      <c r="B324" t="s">
        <v>220</v>
      </c>
      <c r="C324" t="s">
        <v>143</v>
      </c>
      <c r="D324">
        <v>0</v>
      </c>
      <c r="E324">
        <v>0</v>
      </c>
      <c r="F324">
        <v>0</v>
      </c>
      <c r="G324">
        <v>0</v>
      </c>
      <c r="H324">
        <v>0</v>
      </c>
      <c r="I324">
        <v>0</v>
      </c>
      <c r="J324">
        <v>0</v>
      </c>
      <c r="K324" t="s">
        <v>20</v>
      </c>
      <c r="L324">
        <v>2</v>
      </c>
      <c r="M324">
        <v>5000001</v>
      </c>
      <c r="N324">
        <v>0</v>
      </c>
      <c r="O324">
        <v>0</v>
      </c>
      <c r="P324">
        <v>561</v>
      </c>
      <c r="Q324" t="str">
        <f t="shared" si="6"/>
        <v>23mh1a4255@aect.dummy.in</v>
      </c>
    </row>
    <row r="325" spans="1:17" ht="14.4" x14ac:dyDescent="0.3">
      <c r="A325" t="s">
        <v>389</v>
      </c>
      <c r="B325" t="s">
        <v>220</v>
      </c>
      <c r="C325" t="s">
        <v>143</v>
      </c>
      <c r="D325">
        <v>0</v>
      </c>
      <c r="E325">
        <v>0</v>
      </c>
      <c r="F325">
        <v>0</v>
      </c>
      <c r="G325">
        <v>0</v>
      </c>
      <c r="H325">
        <v>4</v>
      </c>
      <c r="I325">
        <v>1</v>
      </c>
      <c r="J325">
        <v>1</v>
      </c>
      <c r="K325" t="s">
        <v>71</v>
      </c>
      <c r="L325">
        <v>6</v>
      </c>
      <c r="M325">
        <v>5000001</v>
      </c>
      <c r="N325">
        <v>0</v>
      </c>
      <c r="O325">
        <v>0</v>
      </c>
      <c r="P325">
        <v>174</v>
      </c>
      <c r="Q325" t="str">
        <f t="shared" si="6"/>
        <v>23mh1a4260@aect.dummy.in</v>
      </c>
    </row>
    <row r="326" spans="1:17" ht="14.4" x14ac:dyDescent="0.3">
      <c r="A326" t="s">
        <v>390</v>
      </c>
      <c r="B326" t="s">
        <v>220</v>
      </c>
      <c r="C326" t="s">
        <v>143</v>
      </c>
      <c r="D326">
        <v>2</v>
      </c>
      <c r="E326">
        <v>0</v>
      </c>
      <c r="F326">
        <v>0</v>
      </c>
      <c r="G326">
        <v>2</v>
      </c>
      <c r="H326">
        <v>5</v>
      </c>
      <c r="I326">
        <v>4</v>
      </c>
      <c r="J326">
        <v>1</v>
      </c>
      <c r="K326" t="s">
        <v>71</v>
      </c>
      <c r="L326">
        <v>56</v>
      </c>
      <c r="M326">
        <v>1836473</v>
      </c>
      <c r="N326">
        <v>1</v>
      </c>
      <c r="O326">
        <v>2</v>
      </c>
      <c r="P326">
        <v>158</v>
      </c>
      <c r="Q326" t="str">
        <f t="shared" si="6"/>
        <v>23mh1a4261@aect.dummy.in</v>
      </c>
    </row>
    <row r="327" spans="1:17" ht="14.4" x14ac:dyDescent="0.3">
      <c r="A327" t="s">
        <v>391</v>
      </c>
      <c r="B327" t="s">
        <v>220</v>
      </c>
      <c r="C327" t="s">
        <v>143</v>
      </c>
      <c r="D327">
        <v>5</v>
      </c>
      <c r="E327">
        <v>0</v>
      </c>
      <c r="F327">
        <v>4</v>
      </c>
      <c r="G327">
        <v>3</v>
      </c>
      <c r="H327">
        <v>1</v>
      </c>
      <c r="I327">
        <v>5</v>
      </c>
      <c r="J327">
        <v>4</v>
      </c>
      <c r="K327" t="s">
        <v>363</v>
      </c>
      <c r="L327">
        <v>182</v>
      </c>
      <c r="M327">
        <v>679757</v>
      </c>
      <c r="N327">
        <v>87</v>
      </c>
      <c r="O327">
        <v>289</v>
      </c>
      <c r="P327">
        <v>671</v>
      </c>
      <c r="Q327" t="str">
        <f t="shared" si="6"/>
        <v>23mh1a4265@aect.dummy.in</v>
      </c>
    </row>
    <row r="328" spans="1:17" ht="14.4" x14ac:dyDescent="0.3">
      <c r="A328" t="s">
        <v>392</v>
      </c>
      <c r="B328" t="s">
        <v>220</v>
      </c>
      <c r="C328" t="s">
        <v>143</v>
      </c>
      <c r="D328">
        <v>0</v>
      </c>
      <c r="E328">
        <v>0</v>
      </c>
      <c r="F328">
        <v>0</v>
      </c>
      <c r="G328">
        <v>0</v>
      </c>
      <c r="H328">
        <v>5</v>
      </c>
      <c r="I328">
        <v>1</v>
      </c>
      <c r="J328">
        <v>1</v>
      </c>
      <c r="K328" t="s">
        <v>71</v>
      </c>
      <c r="L328">
        <v>14</v>
      </c>
      <c r="M328">
        <v>3885735</v>
      </c>
      <c r="N328">
        <v>2</v>
      </c>
      <c r="O328">
        <v>3</v>
      </c>
      <c r="P328">
        <v>66</v>
      </c>
      <c r="Q328" t="str">
        <f t="shared" si="6"/>
        <v>23mh1a4266@aect.dummy.in</v>
      </c>
    </row>
    <row r="329" spans="1:17" ht="14.4" x14ac:dyDescent="0.3">
      <c r="A329" t="s">
        <v>393</v>
      </c>
      <c r="B329" t="s">
        <v>220</v>
      </c>
      <c r="C329" t="s">
        <v>143</v>
      </c>
      <c r="D329">
        <v>0</v>
      </c>
      <c r="E329">
        <v>0</v>
      </c>
      <c r="F329">
        <v>0</v>
      </c>
      <c r="G329">
        <v>1</v>
      </c>
      <c r="H329">
        <v>4</v>
      </c>
      <c r="I329">
        <v>2</v>
      </c>
      <c r="J329">
        <v>1</v>
      </c>
      <c r="K329" t="s">
        <v>71</v>
      </c>
      <c r="L329">
        <v>31</v>
      </c>
      <c r="M329">
        <v>2628668</v>
      </c>
      <c r="N329">
        <v>0</v>
      </c>
      <c r="O329">
        <v>0</v>
      </c>
      <c r="P329">
        <v>206</v>
      </c>
      <c r="Q329" t="str">
        <f t="shared" si="6"/>
        <v>23mh1a4268@aect.dummy.in</v>
      </c>
    </row>
    <row r="330" spans="1:17" ht="14.4" x14ac:dyDescent="0.3">
      <c r="A330" t="s">
        <v>394</v>
      </c>
      <c r="B330" t="s">
        <v>220</v>
      </c>
      <c r="C330" t="s">
        <v>143</v>
      </c>
      <c r="D330">
        <v>0</v>
      </c>
      <c r="E330">
        <v>0</v>
      </c>
      <c r="F330">
        <v>0</v>
      </c>
      <c r="G330">
        <v>0</v>
      </c>
      <c r="H330">
        <v>5</v>
      </c>
      <c r="I330">
        <v>2</v>
      </c>
      <c r="J330">
        <v>1</v>
      </c>
      <c r="K330" t="s">
        <v>71</v>
      </c>
      <c r="L330">
        <v>5</v>
      </c>
      <c r="M330">
        <v>5000001</v>
      </c>
      <c r="N330">
        <v>0</v>
      </c>
      <c r="O330">
        <v>0</v>
      </c>
      <c r="P330">
        <v>10</v>
      </c>
      <c r="Q330" t="str">
        <f t="shared" si="6"/>
        <v>23mh1a4269@aect.dummy.in</v>
      </c>
    </row>
    <row r="331" spans="1:17" ht="14.4" x14ac:dyDescent="0.3">
      <c r="A331" t="s">
        <v>395</v>
      </c>
      <c r="B331" t="s">
        <v>220</v>
      </c>
      <c r="C331" t="s">
        <v>143</v>
      </c>
      <c r="D331">
        <v>0</v>
      </c>
      <c r="E331">
        <v>1</v>
      </c>
      <c r="F331">
        <v>0</v>
      </c>
      <c r="G331">
        <v>1</v>
      </c>
      <c r="H331">
        <v>0</v>
      </c>
      <c r="I331">
        <v>3</v>
      </c>
      <c r="J331">
        <v>0</v>
      </c>
      <c r="K331" t="s">
        <v>20</v>
      </c>
      <c r="L331">
        <v>0</v>
      </c>
      <c r="M331">
        <v>5000001</v>
      </c>
      <c r="N331">
        <v>3</v>
      </c>
      <c r="O331">
        <v>5</v>
      </c>
      <c r="P331">
        <v>35</v>
      </c>
      <c r="Q331" t="str">
        <f t="shared" si="6"/>
        <v>23mh1a4270@aect.dummy.in</v>
      </c>
    </row>
    <row r="332" spans="1:17" ht="14.4" x14ac:dyDescent="0.3">
      <c r="A332" t="s">
        <v>396</v>
      </c>
      <c r="B332" t="s">
        <v>220</v>
      </c>
      <c r="C332" t="s">
        <v>143</v>
      </c>
      <c r="D332">
        <v>0</v>
      </c>
      <c r="E332">
        <v>0</v>
      </c>
      <c r="F332">
        <v>0</v>
      </c>
      <c r="G332">
        <v>1</v>
      </c>
      <c r="H332">
        <v>2</v>
      </c>
      <c r="I332">
        <v>3</v>
      </c>
      <c r="J332">
        <v>2</v>
      </c>
      <c r="K332" t="s">
        <v>67</v>
      </c>
      <c r="L332">
        <v>19</v>
      </c>
      <c r="M332">
        <v>3378024</v>
      </c>
      <c r="N332">
        <v>0</v>
      </c>
      <c r="O332">
        <v>0</v>
      </c>
      <c r="P332">
        <v>43</v>
      </c>
      <c r="Q332" t="str">
        <f t="shared" si="6"/>
        <v>23mh1a4271@aect.dummy.in</v>
      </c>
    </row>
    <row r="333" spans="1:17" ht="14.4" x14ac:dyDescent="0.3">
      <c r="A333" t="s">
        <v>397</v>
      </c>
      <c r="B333" t="s">
        <v>220</v>
      </c>
      <c r="C333" t="s">
        <v>143</v>
      </c>
      <c r="D333">
        <v>0</v>
      </c>
      <c r="E333">
        <v>0</v>
      </c>
      <c r="F333">
        <v>0</v>
      </c>
      <c r="G333">
        <v>0</v>
      </c>
      <c r="H333">
        <v>0</v>
      </c>
      <c r="I333">
        <v>0</v>
      </c>
      <c r="J333">
        <v>0</v>
      </c>
      <c r="K333" t="s">
        <v>20</v>
      </c>
      <c r="L333">
        <v>0</v>
      </c>
      <c r="M333">
        <v>5000001</v>
      </c>
      <c r="N333">
        <v>0</v>
      </c>
      <c r="O333">
        <v>0</v>
      </c>
      <c r="P333">
        <v>0</v>
      </c>
      <c r="Q333" t="str">
        <f t="shared" si="6"/>
        <v>23mh1a4273@aect.dummy.in</v>
      </c>
    </row>
    <row r="334" spans="1:17" ht="14.4" x14ac:dyDescent="0.3">
      <c r="A334" t="s">
        <v>398</v>
      </c>
      <c r="B334" t="s">
        <v>220</v>
      </c>
      <c r="C334" t="s">
        <v>143</v>
      </c>
      <c r="D334">
        <v>0</v>
      </c>
      <c r="E334">
        <v>0</v>
      </c>
      <c r="F334">
        <v>0</v>
      </c>
      <c r="G334">
        <v>0</v>
      </c>
      <c r="H334">
        <v>1</v>
      </c>
      <c r="I334">
        <v>1</v>
      </c>
      <c r="J334">
        <v>0</v>
      </c>
      <c r="K334" t="s">
        <v>20</v>
      </c>
      <c r="L334">
        <v>0</v>
      </c>
      <c r="M334">
        <v>5000001</v>
      </c>
      <c r="N334">
        <v>0</v>
      </c>
      <c r="O334">
        <v>0</v>
      </c>
      <c r="P334">
        <v>0</v>
      </c>
      <c r="Q334" t="str">
        <f t="shared" si="6"/>
        <v>23mh1a4275@aect.dummy.in</v>
      </c>
    </row>
    <row r="335" spans="1:17" ht="14.4" x14ac:dyDescent="0.3">
      <c r="A335" t="s">
        <v>399</v>
      </c>
      <c r="B335" t="s">
        <v>220</v>
      </c>
      <c r="C335" t="s">
        <v>143</v>
      </c>
      <c r="D335">
        <v>0</v>
      </c>
      <c r="E335">
        <v>0</v>
      </c>
      <c r="F335">
        <v>0</v>
      </c>
      <c r="G335">
        <v>0</v>
      </c>
      <c r="H335">
        <v>0</v>
      </c>
      <c r="I335">
        <v>0</v>
      </c>
      <c r="J335">
        <v>0</v>
      </c>
      <c r="K335" t="s">
        <v>20</v>
      </c>
      <c r="L335">
        <v>171</v>
      </c>
      <c r="M335">
        <v>726997</v>
      </c>
      <c r="N335">
        <v>5</v>
      </c>
      <c r="O335">
        <v>14</v>
      </c>
      <c r="P335">
        <v>140</v>
      </c>
      <c r="Q335" t="str">
        <f t="shared" si="6"/>
        <v>23mh1a4291@aect.dummy.in</v>
      </c>
    </row>
    <row r="336" spans="1:17" ht="14.4" x14ac:dyDescent="0.3">
      <c r="A336" t="s">
        <v>400</v>
      </c>
      <c r="B336" t="s">
        <v>220</v>
      </c>
      <c r="C336" t="s">
        <v>143</v>
      </c>
      <c r="D336">
        <v>0</v>
      </c>
      <c r="E336">
        <v>0</v>
      </c>
      <c r="F336">
        <v>0</v>
      </c>
      <c r="G336">
        <v>0</v>
      </c>
      <c r="H336">
        <v>0</v>
      </c>
      <c r="I336">
        <v>0</v>
      </c>
      <c r="J336">
        <v>0</v>
      </c>
      <c r="K336" t="s">
        <v>20</v>
      </c>
      <c r="L336">
        <v>26</v>
      </c>
      <c r="M336">
        <v>2889910</v>
      </c>
      <c r="N336">
        <v>0</v>
      </c>
      <c r="O336">
        <v>0</v>
      </c>
      <c r="P336">
        <v>205</v>
      </c>
      <c r="Q336" t="str">
        <f t="shared" si="6"/>
        <v>23mh1a42a1@aect.dummy.in</v>
      </c>
    </row>
    <row r="337" spans="1:17" ht="14.4" x14ac:dyDescent="0.3">
      <c r="A337" t="s">
        <v>401</v>
      </c>
      <c r="B337" t="s">
        <v>220</v>
      </c>
      <c r="C337" t="s">
        <v>143</v>
      </c>
      <c r="D337">
        <v>0</v>
      </c>
      <c r="E337">
        <v>0</v>
      </c>
      <c r="F337">
        <v>0</v>
      </c>
      <c r="G337">
        <v>0</v>
      </c>
      <c r="H337">
        <v>0</v>
      </c>
      <c r="I337">
        <v>0</v>
      </c>
      <c r="J337">
        <v>0</v>
      </c>
      <c r="K337" t="s">
        <v>20</v>
      </c>
      <c r="L337">
        <v>0</v>
      </c>
      <c r="M337">
        <v>5000001</v>
      </c>
      <c r="N337">
        <v>0</v>
      </c>
      <c r="O337">
        <v>0</v>
      </c>
      <c r="P337">
        <v>12</v>
      </c>
      <c r="Q337" t="str">
        <f t="shared" si="6"/>
        <v>23mh1a42a4@aect.dummy.in</v>
      </c>
    </row>
    <row r="338" spans="1:17" ht="14.4" x14ac:dyDescent="0.3">
      <c r="A338" t="s">
        <v>402</v>
      </c>
      <c r="B338" t="s">
        <v>220</v>
      </c>
      <c r="C338" t="s">
        <v>143</v>
      </c>
      <c r="D338">
        <v>0</v>
      </c>
      <c r="E338">
        <v>1</v>
      </c>
      <c r="F338">
        <v>1</v>
      </c>
      <c r="G338">
        <v>2</v>
      </c>
      <c r="H338">
        <v>0</v>
      </c>
      <c r="I338">
        <v>3</v>
      </c>
      <c r="J338">
        <v>3</v>
      </c>
      <c r="K338" t="s">
        <v>403</v>
      </c>
      <c r="L338">
        <v>35</v>
      </c>
      <c r="M338">
        <v>2457458</v>
      </c>
      <c r="N338">
        <v>54</v>
      </c>
      <c r="O338">
        <v>81</v>
      </c>
      <c r="P338">
        <v>320</v>
      </c>
      <c r="Q338" t="str">
        <f t="shared" si="6"/>
        <v>23mh1a42b1@aect.dummy.in</v>
      </c>
    </row>
    <row r="339" spans="1:17" ht="14.4" x14ac:dyDescent="0.3">
      <c r="A339" t="s">
        <v>404</v>
      </c>
      <c r="B339" t="s">
        <v>220</v>
      </c>
      <c r="C339" t="s">
        <v>143</v>
      </c>
      <c r="D339">
        <v>0</v>
      </c>
      <c r="E339">
        <v>0</v>
      </c>
      <c r="F339">
        <v>0</v>
      </c>
      <c r="G339">
        <v>0</v>
      </c>
      <c r="H339">
        <v>0</v>
      </c>
      <c r="I339">
        <v>0</v>
      </c>
      <c r="J339">
        <v>2</v>
      </c>
      <c r="K339" t="s">
        <v>217</v>
      </c>
      <c r="L339">
        <v>5</v>
      </c>
      <c r="M339">
        <v>5000001</v>
      </c>
      <c r="N339">
        <v>25</v>
      </c>
      <c r="O339">
        <v>36</v>
      </c>
      <c r="P339">
        <v>79</v>
      </c>
      <c r="Q339" t="str">
        <f t="shared" si="6"/>
        <v>23mh1a42b2@aect.dummy.in</v>
      </c>
    </row>
    <row r="340" spans="1:17" ht="14.4" x14ac:dyDescent="0.3">
      <c r="A340" t="s">
        <v>405</v>
      </c>
      <c r="B340" t="s">
        <v>220</v>
      </c>
      <c r="C340" t="s">
        <v>143</v>
      </c>
      <c r="D340">
        <v>0</v>
      </c>
      <c r="E340">
        <v>0</v>
      </c>
      <c r="F340">
        <v>0</v>
      </c>
      <c r="G340">
        <v>0</v>
      </c>
      <c r="H340">
        <v>0</v>
      </c>
      <c r="I340">
        <v>0</v>
      </c>
      <c r="J340">
        <v>0</v>
      </c>
      <c r="K340" t="s">
        <v>20</v>
      </c>
      <c r="L340">
        <v>0</v>
      </c>
      <c r="M340">
        <v>5000001</v>
      </c>
      <c r="N340">
        <v>0</v>
      </c>
      <c r="O340">
        <v>0</v>
      </c>
      <c r="P340">
        <v>0</v>
      </c>
      <c r="Q340" t="str">
        <f t="shared" si="6"/>
        <v>23mh1a42b9@aect.dummy.in</v>
      </c>
    </row>
    <row r="341" spans="1:17" ht="14.4" x14ac:dyDescent="0.3">
      <c r="A341" t="s">
        <v>406</v>
      </c>
      <c r="B341" t="s">
        <v>220</v>
      </c>
      <c r="C341" t="s">
        <v>143</v>
      </c>
      <c r="D341">
        <v>0</v>
      </c>
      <c r="E341">
        <v>0</v>
      </c>
      <c r="F341">
        <v>0</v>
      </c>
      <c r="G341">
        <v>0</v>
      </c>
      <c r="H341">
        <v>0</v>
      </c>
      <c r="I341">
        <v>0</v>
      </c>
      <c r="J341">
        <v>0</v>
      </c>
      <c r="K341" t="s">
        <v>20</v>
      </c>
      <c r="L341">
        <v>0</v>
      </c>
      <c r="M341">
        <v>5000001</v>
      </c>
      <c r="N341">
        <v>0</v>
      </c>
      <c r="O341">
        <v>0</v>
      </c>
      <c r="P341">
        <v>0</v>
      </c>
      <c r="Q341" t="str">
        <f t="shared" si="6"/>
        <v>23mh1a42c9@aect.dummy.in</v>
      </c>
    </row>
    <row r="342" spans="1:17" ht="14.4" x14ac:dyDescent="0.3">
      <c r="A342" t="s">
        <v>407</v>
      </c>
      <c r="B342" t="s">
        <v>220</v>
      </c>
      <c r="C342" t="s">
        <v>143</v>
      </c>
      <c r="D342">
        <v>0</v>
      </c>
      <c r="E342">
        <v>0</v>
      </c>
      <c r="F342">
        <v>0</v>
      </c>
      <c r="G342">
        <v>0</v>
      </c>
      <c r="H342">
        <v>0</v>
      </c>
      <c r="I342">
        <v>0</v>
      </c>
      <c r="J342">
        <v>0</v>
      </c>
      <c r="K342" t="s">
        <v>20</v>
      </c>
      <c r="L342">
        <v>2</v>
      </c>
      <c r="M342">
        <v>5000001</v>
      </c>
      <c r="N342">
        <v>0</v>
      </c>
      <c r="O342">
        <v>0</v>
      </c>
      <c r="P342">
        <v>58</v>
      </c>
      <c r="Q342" t="str">
        <f t="shared" si="6"/>
        <v>23mh1a42d3@aect.dummy.in</v>
      </c>
    </row>
    <row r="343" spans="1:17" ht="14.4" x14ac:dyDescent="0.3">
      <c r="A343" t="s">
        <v>408</v>
      </c>
      <c r="B343" t="s">
        <v>220</v>
      </c>
      <c r="C343" t="s">
        <v>143</v>
      </c>
      <c r="D343">
        <v>2</v>
      </c>
      <c r="E343">
        <v>0</v>
      </c>
      <c r="F343">
        <v>0</v>
      </c>
      <c r="G343">
        <v>0</v>
      </c>
      <c r="H343">
        <v>0</v>
      </c>
      <c r="I343">
        <v>1</v>
      </c>
      <c r="J343">
        <v>0</v>
      </c>
      <c r="K343" t="s">
        <v>20</v>
      </c>
      <c r="L343">
        <v>0</v>
      </c>
      <c r="M343">
        <v>5000001</v>
      </c>
      <c r="N343">
        <v>1</v>
      </c>
      <c r="O343">
        <v>0</v>
      </c>
      <c r="P343">
        <v>0</v>
      </c>
      <c r="Q343" t="str">
        <f t="shared" si="6"/>
        <v>23mh1a42f8@aect.dummy.in</v>
      </c>
    </row>
    <row r="344" spans="1:17" ht="14.4" x14ac:dyDescent="0.3">
      <c r="A344" t="s">
        <v>409</v>
      </c>
      <c r="B344" t="s">
        <v>220</v>
      </c>
      <c r="C344" t="s">
        <v>143</v>
      </c>
      <c r="D344">
        <v>1</v>
      </c>
      <c r="E344">
        <v>0</v>
      </c>
      <c r="F344">
        <v>1</v>
      </c>
      <c r="G344">
        <v>0</v>
      </c>
      <c r="H344">
        <v>0</v>
      </c>
      <c r="I344">
        <v>2</v>
      </c>
      <c r="J344">
        <v>2</v>
      </c>
      <c r="K344" t="s">
        <v>410</v>
      </c>
      <c r="L344">
        <v>0</v>
      </c>
      <c r="M344">
        <v>5000001</v>
      </c>
      <c r="N344">
        <v>1</v>
      </c>
      <c r="O344">
        <v>0</v>
      </c>
      <c r="P344">
        <v>625</v>
      </c>
      <c r="Q344" t="str">
        <f t="shared" si="6"/>
        <v>23mh1a42g7@aect.dummy.in</v>
      </c>
    </row>
    <row r="345" spans="1:17" ht="14.4" x14ac:dyDescent="0.3">
      <c r="A345" t="s">
        <v>411</v>
      </c>
      <c r="B345" t="s">
        <v>220</v>
      </c>
      <c r="C345" t="s">
        <v>143</v>
      </c>
      <c r="D345">
        <v>1</v>
      </c>
      <c r="E345">
        <v>0</v>
      </c>
      <c r="F345">
        <v>0</v>
      </c>
      <c r="G345">
        <v>0</v>
      </c>
      <c r="H345">
        <v>0</v>
      </c>
      <c r="I345">
        <v>1</v>
      </c>
      <c r="J345">
        <v>1</v>
      </c>
      <c r="K345" t="s">
        <v>71</v>
      </c>
      <c r="L345">
        <v>2</v>
      </c>
      <c r="M345">
        <v>5000001</v>
      </c>
      <c r="N345">
        <v>0</v>
      </c>
      <c r="O345">
        <v>0</v>
      </c>
      <c r="P345">
        <v>0</v>
      </c>
      <c r="Q345" t="str">
        <f t="shared" si="6"/>
        <v>23mh1a42i9@aect.dummy.in</v>
      </c>
    </row>
    <row r="346" spans="1:17" ht="14.4" x14ac:dyDescent="0.3">
      <c r="A346" t="s">
        <v>412</v>
      </c>
      <c r="B346" t="s">
        <v>220</v>
      </c>
      <c r="C346" t="s">
        <v>143</v>
      </c>
      <c r="D346">
        <v>0</v>
      </c>
      <c r="E346">
        <v>0</v>
      </c>
      <c r="F346">
        <v>0</v>
      </c>
      <c r="G346">
        <v>2</v>
      </c>
      <c r="H346">
        <v>0</v>
      </c>
      <c r="I346">
        <v>1</v>
      </c>
      <c r="J346">
        <v>1</v>
      </c>
      <c r="K346" t="s">
        <v>247</v>
      </c>
      <c r="L346">
        <v>0</v>
      </c>
      <c r="M346">
        <v>5000001</v>
      </c>
      <c r="N346">
        <v>0</v>
      </c>
      <c r="O346">
        <v>0</v>
      </c>
      <c r="P346">
        <v>0</v>
      </c>
      <c r="Q346" t="str">
        <f t="shared" si="6"/>
        <v>23mh1a42j0@aect.dummy.in</v>
      </c>
    </row>
    <row r="347" spans="1:17" ht="14.4" x14ac:dyDescent="0.3">
      <c r="A347" t="s">
        <v>413</v>
      </c>
      <c r="B347" t="s">
        <v>220</v>
      </c>
      <c r="C347" t="s">
        <v>143</v>
      </c>
      <c r="D347">
        <v>0</v>
      </c>
      <c r="E347">
        <v>0</v>
      </c>
      <c r="F347">
        <v>0</v>
      </c>
      <c r="G347">
        <v>0</v>
      </c>
      <c r="H347">
        <v>0</v>
      </c>
      <c r="I347">
        <v>0</v>
      </c>
      <c r="J347">
        <v>0</v>
      </c>
      <c r="K347" t="s">
        <v>20</v>
      </c>
      <c r="L347">
        <v>0</v>
      </c>
      <c r="M347">
        <v>5000001</v>
      </c>
      <c r="N347">
        <v>0</v>
      </c>
      <c r="O347">
        <v>0</v>
      </c>
      <c r="P347">
        <v>0</v>
      </c>
      <c r="Q347" t="str">
        <f t="shared" si="6"/>
        <v>23mh1a4404@aect.dummy.in</v>
      </c>
    </row>
    <row r="348" spans="1:17" ht="14.4" x14ac:dyDescent="0.3">
      <c r="A348" t="s">
        <v>414</v>
      </c>
      <c r="B348" t="s">
        <v>220</v>
      </c>
      <c r="C348" t="s">
        <v>143</v>
      </c>
      <c r="D348">
        <v>2</v>
      </c>
      <c r="E348">
        <v>0</v>
      </c>
      <c r="F348">
        <v>0</v>
      </c>
      <c r="G348">
        <v>1</v>
      </c>
      <c r="H348">
        <v>0</v>
      </c>
      <c r="I348">
        <v>2</v>
      </c>
      <c r="J348">
        <v>0</v>
      </c>
      <c r="K348" t="s">
        <v>20</v>
      </c>
      <c r="L348">
        <v>0</v>
      </c>
      <c r="M348">
        <v>5000001</v>
      </c>
      <c r="N348">
        <v>0</v>
      </c>
      <c r="O348">
        <v>0</v>
      </c>
      <c r="P348">
        <v>105</v>
      </c>
      <c r="Q348" t="str">
        <f t="shared" si="6"/>
        <v>23mh1a4406@aect.dummy.in</v>
      </c>
    </row>
    <row r="349" spans="1:17" ht="14.4" x14ac:dyDescent="0.3">
      <c r="A349" t="s">
        <v>415</v>
      </c>
      <c r="B349" t="s">
        <v>220</v>
      </c>
      <c r="C349" t="s">
        <v>143</v>
      </c>
      <c r="D349">
        <v>0</v>
      </c>
      <c r="E349">
        <v>0</v>
      </c>
      <c r="F349">
        <v>0</v>
      </c>
      <c r="G349">
        <v>0</v>
      </c>
      <c r="H349">
        <v>1</v>
      </c>
      <c r="I349">
        <v>1</v>
      </c>
      <c r="J349">
        <v>0</v>
      </c>
      <c r="K349" t="s">
        <v>20</v>
      </c>
      <c r="L349">
        <v>3</v>
      </c>
      <c r="M349">
        <v>5000001</v>
      </c>
      <c r="N349">
        <v>6</v>
      </c>
      <c r="O349">
        <v>13</v>
      </c>
      <c r="P349">
        <v>0</v>
      </c>
      <c r="Q349" t="str">
        <f t="shared" si="6"/>
        <v>23mh1a4409@aect.dummy.in</v>
      </c>
    </row>
    <row r="350" spans="1:17" ht="14.4" x14ac:dyDescent="0.3">
      <c r="A350" t="s">
        <v>416</v>
      </c>
      <c r="B350" t="s">
        <v>220</v>
      </c>
      <c r="C350" t="s">
        <v>143</v>
      </c>
      <c r="D350">
        <v>5</v>
      </c>
      <c r="E350">
        <v>2</v>
      </c>
      <c r="F350">
        <v>2</v>
      </c>
      <c r="G350">
        <v>2</v>
      </c>
      <c r="H350">
        <v>0</v>
      </c>
      <c r="I350">
        <v>5</v>
      </c>
      <c r="J350">
        <v>1</v>
      </c>
      <c r="K350" t="s">
        <v>71</v>
      </c>
      <c r="L350">
        <v>390</v>
      </c>
      <c r="M350">
        <v>235667</v>
      </c>
      <c r="N350">
        <v>272</v>
      </c>
      <c r="O350">
        <v>569</v>
      </c>
      <c r="P350">
        <v>483</v>
      </c>
      <c r="Q350" t="str">
        <f t="shared" si="6"/>
        <v>23mh1a4413@aect.dummy.in</v>
      </c>
    </row>
    <row r="351" spans="1:17" ht="14.4" x14ac:dyDescent="0.3">
      <c r="A351" t="s">
        <v>417</v>
      </c>
      <c r="B351" t="s">
        <v>220</v>
      </c>
      <c r="C351" t="s">
        <v>143</v>
      </c>
      <c r="D351">
        <v>0</v>
      </c>
      <c r="E351">
        <v>0</v>
      </c>
      <c r="F351">
        <v>0</v>
      </c>
      <c r="G351">
        <v>0</v>
      </c>
      <c r="H351">
        <v>0</v>
      </c>
      <c r="I351">
        <v>0</v>
      </c>
      <c r="J351">
        <v>0</v>
      </c>
      <c r="K351" t="s">
        <v>20</v>
      </c>
      <c r="L351">
        <v>119</v>
      </c>
      <c r="M351">
        <v>1038393</v>
      </c>
      <c r="N351">
        <v>125</v>
      </c>
      <c r="O351">
        <v>300</v>
      </c>
      <c r="P351">
        <v>208</v>
      </c>
      <c r="Q351" t="str">
        <f t="shared" si="6"/>
        <v>23mh1a4416@aect.dummy.in</v>
      </c>
    </row>
    <row r="352" spans="1:17" ht="14.4" x14ac:dyDescent="0.3">
      <c r="A352" t="s">
        <v>418</v>
      </c>
      <c r="B352" t="s">
        <v>220</v>
      </c>
      <c r="C352" t="s">
        <v>143</v>
      </c>
      <c r="D352">
        <v>0</v>
      </c>
      <c r="E352">
        <v>0</v>
      </c>
      <c r="F352">
        <v>0</v>
      </c>
      <c r="G352">
        <v>0</v>
      </c>
      <c r="H352">
        <v>0</v>
      </c>
      <c r="I352">
        <v>0</v>
      </c>
      <c r="J352">
        <v>0</v>
      </c>
      <c r="K352" t="s">
        <v>20</v>
      </c>
      <c r="L352">
        <v>0</v>
      </c>
      <c r="M352">
        <v>5000001</v>
      </c>
      <c r="N352">
        <v>9</v>
      </c>
      <c r="O352">
        <v>11</v>
      </c>
      <c r="P352">
        <v>0</v>
      </c>
      <c r="Q352" t="str">
        <f t="shared" si="6"/>
        <v>23mh1a4420@aect.dummy.in</v>
      </c>
    </row>
    <row r="353" spans="1:17" ht="14.4" x14ac:dyDescent="0.3">
      <c r="A353" t="s">
        <v>419</v>
      </c>
      <c r="B353" t="s">
        <v>220</v>
      </c>
      <c r="C353" t="s">
        <v>143</v>
      </c>
      <c r="D353">
        <v>0</v>
      </c>
      <c r="E353">
        <v>0</v>
      </c>
      <c r="F353">
        <v>0</v>
      </c>
      <c r="G353">
        <v>0</v>
      </c>
      <c r="H353">
        <v>0</v>
      </c>
      <c r="I353">
        <v>0</v>
      </c>
      <c r="J353">
        <v>0</v>
      </c>
      <c r="K353" t="s">
        <v>20</v>
      </c>
      <c r="L353">
        <v>0</v>
      </c>
      <c r="M353">
        <v>5000001</v>
      </c>
      <c r="N353">
        <v>0</v>
      </c>
      <c r="O353">
        <v>0</v>
      </c>
      <c r="P353">
        <v>0</v>
      </c>
      <c r="Q353" t="str">
        <f t="shared" si="6"/>
        <v>23mh1a4426@aect.dummy.in</v>
      </c>
    </row>
    <row r="354" spans="1:17" ht="14.4" x14ac:dyDescent="0.3">
      <c r="A354" t="s">
        <v>420</v>
      </c>
      <c r="B354" t="s">
        <v>220</v>
      </c>
      <c r="C354" t="s">
        <v>143</v>
      </c>
      <c r="D354">
        <v>0</v>
      </c>
      <c r="E354">
        <v>0</v>
      </c>
      <c r="F354">
        <v>0</v>
      </c>
      <c r="G354">
        <v>0</v>
      </c>
      <c r="H354">
        <v>0</v>
      </c>
      <c r="I354">
        <v>0</v>
      </c>
      <c r="J354">
        <v>0</v>
      </c>
      <c r="K354" t="s">
        <v>20</v>
      </c>
      <c r="L354">
        <v>0</v>
      </c>
      <c r="M354">
        <v>5000001</v>
      </c>
      <c r="N354">
        <v>0</v>
      </c>
      <c r="O354">
        <v>0</v>
      </c>
      <c r="P354">
        <v>0</v>
      </c>
      <c r="Q354" t="str">
        <f t="shared" si="6"/>
        <v>23mh1a4432@aect.dummy.in</v>
      </c>
    </row>
    <row r="355" spans="1:17" ht="14.4" x14ac:dyDescent="0.3">
      <c r="A355" t="s">
        <v>421</v>
      </c>
      <c r="B355" t="s">
        <v>220</v>
      </c>
      <c r="C355" t="s">
        <v>143</v>
      </c>
      <c r="D355">
        <v>1</v>
      </c>
      <c r="E355">
        <v>0</v>
      </c>
      <c r="F355">
        <v>0</v>
      </c>
      <c r="G355">
        <v>0</v>
      </c>
      <c r="H355">
        <v>0</v>
      </c>
      <c r="I355">
        <v>1</v>
      </c>
      <c r="J355">
        <v>0</v>
      </c>
      <c r="K355" t="s">
        <v>20</v>
      </c>
      <c r="L355">
        <v>29</v>
      </c>
      <c r="M355">
        <v>2729538</v>
      </c>
      <c r="N355">
        <v>6</v>
      </c>
      <c r="O355">
        <v>18</v>
      </c>
      <c r="P355">
        <v>69</v>
      </c>
      <c r="Q355" t="str">
        <f t="shared" si="6"/>
        <v>23mh1a4433@aect.dummy.in</v>
      </c>
    </row>
    <row r="356" spans="1:17" ht="14.4" x14ac:dyDescent="0.3">
      <c r="A356" t="s">
        <v>422</v>
      </c>
      <c r="B356" t="s">
        <v>220</v>
      </c>
      <c r="C356" t="s">
        <v>143</v>
      </c>
      <c r="D356">
        <v>0</v>
      </c>
      <c r="E356">
        <v>0</v>
      </c>
      <c r="F356">
        <v>0</v>
      </c>
      <c r="G356">
        <v>2</v>
      </c>
      <c r="H356">
        <v>0</v>
      </c>
      <c r="I356">
        <v>1</v>
      </c>
      <c r="J356">
        <v>1</v>
      </c>
      <c r="K356" t="s">
        <v>71</v>
      </c>
      <c r="L356">
        <v>0</v>
      </c>
      <c r="M356">
        <v>5000001</v>
      </c>
      <c r="N356">
        <v>0</v>
      </c>
      <c r="O356">
        <v>0</v>
      </c>
      <c r="P356">
        <v>0</v>
      </c>
      <c r="Q356" t="str">
        <f t="shared" si="6"/>
        <v>23mh1a4434@aect.dummy.in</v>
      </c>
    </row>
    <row r="357" spans="1:17" ht="14.4" x14ac:dyDescent="0.3">
      <c r="A357" t="s">
        <v>423</v>
      </c>
      <c r="B357" t="s">
        <v>220</v>
      </c>
      <c r="C357" t="s">
        <v>143</v>
      </c>
      <c r="D357">
        <v>3</v>
      </c>
      <c r="E357">
        <v>1</v>
      </c>
      <c r="F357">
        <v>4</v>
      </c>
      <c r="G357">
        <v>3</v>
      </c>
      <c r="H357">
        <v>2</v>
      </c>
      <c r="I357">
        <v>6</v>
      </c>
      <c r="J357">
        <v>0</v>
      </c>
      <c r="K357" t="s">
        <v>20</v>
      </c>
      <c r="L357">
        <v>251</v>
      </c>
      <c r="M357">
        <v>459600</v>
      </c>
      <c r="N357">
        <v>210</v>
      </c>
      <c r="O357">
        <v>561</v>
      </c>
      <c r="P357">
        <v>290</v>
      </c>
      <c r="Q357" t="str">
        <f t="shared" si="6"/>
        <v>23mh1a4435@aect.dummy.in</v>
      </c>
    </row>
    <row r="358" spans="1:17" ht="14.4" x14ac:dyDescent="0.3">
      <c r="A358" t="s">
        <v>424</v>
      </c>
      <c r="B358" t="s">
        <v>220</v>
      </c>
      <c r="C358" t="s">
        <v>143</v>
      </c>
      <c r="D358">
        <v>0</v>
      </c>
      <c r="E358">
        <v>0</v>
      </c>
      <c r="F358">
        <v>0</v>
      </c>
      <c r="G358">
        <v>0</v>
      </c>
      <c r="H358">
        <v>0</v>
      </c>
      <c r="I358">
        <v>0</v>
      </c>
      <c r="J358">
        <v>0</v>
      </c>
      <c r="K358" t="s">
        <v>20</v>
      </c>
      <c r="L358">
        <v>0</v>
      </c>
      <c r="M358">
        <v>5000001</v>
      </c>
      <c r="N358">
        <v>0</v>
      </c>
      <c r="O358">
        <v>0</v>
      </c>
      <c r="P358">
        <v>0</v>
      </c>
      <c r="Q358" t="str">
        <f t="shared" si="6"/>
        <v>23mh1a4453@aect.dummy.in</v>
      </c>
    </row>
    <row r="359" spans="1:17" ht="14.4" x14ac:dyDescent="0.3">
      <c r="A359" t="s">
        <v>425</v>
      </c>
      <c r="B359" t="s">
        <v>220</v>
      </c>
      <c r="C359" t="s">
        <v>143</v>
      </c>
      <c r="D359">
        <v>0</v>
      </c>
      <c r="E359">
        <v>0</v>
      </c>
      <c r="F359">
        <v>1</v>
      </c>
      <c r="G359">
        <v>0</v>
      </c>
      <c r="H359">
        <v>0</v>
      </c>
      <c r="I359">
        <v>1</v>
      </c>
      <c r="J359">
        <v>0</v>
      </c>
      <c r="K359" t="s">
        <v>20</v>
      </c>
      <c r="L359">
        <v>0</v>
      </c>
      <c r="M359">
        <v>5000001</v>
      </c>
      <c r="N359">
        <v>0</v>
      </c>
      <c r="O359">
        <v>0</v>
      </c>
      <c r="P359">
        <v>122</v>
      </c>
      <c r="Q359" t="str">
        <f t="shared" si="6"/>
        <v>23mh1a4461@aect.dummy.in</v>
      </c>
    </row>
    <row r="360" spans="1:17" ht="14.4" x14ac:dyDescent="0.3">
      <c r="A360" t="s">
        <v>426</v>
      </c>
      <c r="B360" t="s">
        <v>220</v>
      </c>
      <c r="C360" t="s">
        <v>143</v>
      </c>
      <c r="D360">
        <v>0</v>
      </c>
      <c r="E360">
        <v>0</v>
      </c>
      <c r="F360">
        <v>0</v>
      </c>
      <c r="G360">
        <v>3</v>
      </c>
      <c r="H360">
        <v>0</v>
      </c>
      <c r="I360">
        <v>1</v>
      </c>
      <c r="J360">
        <v>0</v>
      </c>
      <c r="K360" t="s">
        <v>20</v>
      </c>
      <c r="L360">
        <v>0</v>
      </c>
      <c r="M360">
        <v>5000001</v>
      </c>
      <c r="N360">
        <v>2</v>
      </c>
      <c r="O360">
        <v>4</v>
      </c>
      <c r="P360">
        <v>84</v>
      </c>
      <c r="Q360" t="str">
        <f t="shared" si="6"/>
        <v>23mh1a4462@aect.dummy.in</v>
      </c>
    </row>
    <row r="361" spans="1:17" ht="14.4" x14ac:dyDescent="0.3">
      <c r="A361" t="s">
        <v>427</v>
      </c>
      <c r="B361" t="s">
        <v>220</v>
      </c>
      <c r="C361" t="s">
        <v>143</v>
      </c>
      <c r="D361">
        <v>0</v>
      </c>
      <c r="E361">
        <v>0</v>
      </c>
      <c r="F361">
        <v>0</v>
      </c>
      <c r="G361">
        <v>0</v>
      </c>
      <c r="H361">
        <v>0</v>
      </c>
      <c r="I361">
        <v>0</v>
      </c>
      <c r="J361">
        <v>0</v>
      </c>
      <c r="K361" t="s">
        <v>20</v>
      </c>
      <c r="L361">
        <v>0</v>
      </c>
      <c r="M361">
        <v>5000001</v>
      </c>
      <c r="N361">
        <v>0</v>
      </c>
      <c r="O361">
        <v>0</v>
      </c>
      <c r="P361">
        <v>0</v>
      </c>
      <c r="Q361" t="str">
        <f t="shared" si="6"/>
        <v>23mh1a4463@aect.dummy.in</v>
      </c>
    </row>
    <row r="362" spans="1:17" ht="14.4" x14ac:dyDescent="0.3">
      <c r="A362" t="s">
        <v>428</v>
      </c>
      <c r="B362" t="s">
        <v>220</v>
      </c>
      <c r="C362" t="s">
        <v>143</v>
      </c>
      <c r="D362">
        <v>0</v>
      </c>
      <c r="E362">
        <v>0</v>
      </c>
      <c r="F362">
        <v>0</v>
      </c>
      <c r="G362">
        <v>2</v>
      </c>
      <c r="H362">
        <v>0</v>
      </c>
      <c r="I362">
        <v>1</v>
      </c>
      <c r="J362">
        <v>0</v>
      </c>
      <c r="K362" t="s">
        <v>20</v>
      </c>
      <c r="L362">
        <v>1</v>
      </c>
      <c r="M362">
        <v>5000001</v>
      </c>
      <c r="N362">
        <v>67</v>
      </c>
      <c r="O362">
        <v>233</v>
      </c>
      <c r="P362">
        <v>449</v>
      </c>
      <c r="Q362" t="str">
        <f t="shared" si="6"/>
        <v>23mh1a4464@aect.dummy.in</v>
      </c>
    </row>
    <row r="363" spans="1:17" ht="14.4" x14ac:dyDescent="0.3">
      <c r="A363" t="s">
        <v>429</v>
      </c>
      <c r="B363" t="s">
        <v>220</v>
      </c>
      <c r="C363" t="s">
        <v>143</v>
      </c>
      <c r="D363">
        <v>1</v>
      </c>
      <c r="E363">
        <v>0</v>
      </c>
      <c r="F363">
        <v>3</v>
      </c>
      <c r="G363">
        <v>4</v>
      </c>
      <c r="H363">
        <v>0</v>
      </c>
      <c r="I363">
        <v>3</v>
      </c>
      <c r="J363">
        <v>0</v>
      </c>
      <c r="K363" t="s">
        <v>20</v>
      </c>
      <c r="L363">
        <v>5</v>
      </c>
      <c r="M363">
        <v>5000001</v>
      </c>
      <c r="N363">
        <v>13</v>
      </c>
      <c r="O363">
        <v>19</v>
      </c>
      <c r="P363">
        <v>186</v>
      </c>
      <c r="Q363" t="str">
        <f t="shared" si="6"/>
        <v>23mh1a4465@aect.dummy.in</v>
      </c>
    </row>
    <row r="364" spans="1:17" ht="14.4" x14ac:dyDescent="0.3">
      <c r="A364" t="s">
        <v>430</v>
      </c>
      <c r="B364" t="s">
        <v>220</v>
      </c>
      <c r="C364" t="s">
        <v>143</v>
      </c>
      <c r="D364">
        <v>5</v>
      </c>
      <c r="E364">
        <v>1</v>
      </c>
      <c r="F364">
        <v>3</v>
      </c>
      <c r="G364">
        <v>3</v>
      </c>
      <c r="H364">
        <v>3</v>
      </c>
      <c r="I364">
        <v>6</v>
      </c>
      <c r="J364">
        <v>0</v>
      </c>
      <c r="K364" t="s">
        <v>20</v>
      </c>
      <c r="L364">
        <v>122</v>
      </c>
      <c r="M364">
        <v>1015971</v>
      </c>
      <c r="N364">
        <v>107</v>
      </c>
      <c r="O364">
        <v>221</v>
      </c>
      <c r="P364">
        <v>338</v>
      </c>
      <c r="Q364" t="str">
        <f t="shared" si="6"/>
        <v>23mh1a4901@aect.dummy.in</v>
      </c>
    </row>
    <row r="365" spans="1:17" ht="14.4" x14ac:dyDescent="0.3">
      <c r="A365" t="s">
        <v>431</v>
      </c>
      <c r="B365" t="s">
        <v>220</v>
      </c>
      <c r="C365" t="s">
        <v>143</v>
      </c>
      <c r="D365">
        <v>0</v>
      </c>
      <c r="E365">
        <v>0</v>
      </c>
      <c r="F365">
        <v>0</v>
      </c>
      <c r="G365">
        <v>0</v>
      </c>
      <c r="H365">
        <v>0</v>
      </c>
      <c r="I365">
        <v>0</v>
      </c>
      <c r="J365">
        <v>0</v>
      </c>
      <c r="K365" t="s">
        <v>20</v>
      </c>
      <c r="L365">
        <v>32</v>
      </c>
      <c r="M365">
        <v>2585173</v>
      </c>
      <c r="N365">
        <v>10</v>
      </c>
      <c r="O365">
        <v>32</v>
      </c>
      <c r="P365">
        <v>47</v>
      </c>
      <c r="Q365" t="str">
        <f t="shared" si="6"/>
        <v>23mh1a4905@aect.dummy.in</v>
      </c>
    </row>
    <row r="366" spans="1:17" ht="14.4" x14ac:dyDescent="0.3">
      <c r="A366" t="s">
        <v>432</v>
      </c>
      <c r="B366" t="s">
        <v>220</v>
      </c>
      <c r="C366" t="s">
        <v>143</v>
      </c>
      <c r="D366">
        <v>5</v>
      </c>
      <c r="E366">
        <v>0</v>
      </c>
      <c r="F366">
        <v>3</v>
      </c>
      <c r="G366">
        <v>2</v>
      </c>
      <c r="H366">
        <v>1</v>
      </c>
      <c r="I366">
        <v>5</v>
      </c>
      <c r="J366">
        <v>1</v>
      </c>
      <c r="K366" t="s">
        <v>71</v>
      </c>
      <c r="L366">
        <v>130</v>
      </c>
      <c r="M366">
        <v>958791</v>
      </c>
      <c r="N366">
        <v>112</v>
      </c>
      <c r="O366">
        <v>228</v>
      </c>
      <c r="P366">
        <v>201</v>
      </c>
      <c r="Q366" t="str">
        <f t="shared" si="6"/>
        <v>23mh1a4918@aect.dummy.in</v>
      </c>
    </row>
    <row r="367" spans="1:17" ht="14.4" x14ac:dyDescent="0.3">
      <c r="A367" t="s">
        <v>433</v>
      </c>
      <c r="B367" t="s">
        <v>220</v>
      </c>
      <c r="C367" t="s">
        <v>143</v>
      </c>
      <c r="D367">
        <v>1</v>
      </c>
      <c r="E367">
        <v>0</v>
      </c>
      <c r="F367">
        <v>0</v>
      </c>
      <c r="G367">
        <v>0</v>
      </c>
      <c r="H367">
        <v>0</v>
      </c>
      <c r="I367">
        <v>1</v>
      </c>
      <c r="J367">
        <v>0</v>
      </c>
      <c r="K367" t="s">
        <v>20</v>
      </c>
      <c r="L367">
        <v>4</v>
      </c>
      <c r="M367">
        <v>5000001</v>
      </c>
      <c r="N367">
        <v>0</v>
      </c>
      <c r="O367">
        <v>0</v>
      </c>
      <c r="P367">
        <v>8</v>
      </c>
      <c r="Q367" t="str">
        <f t="shared" si="6"/>
        <v>23mh1a4930@aect.dummy.in</v>
      </c>
    </row>
    <row r="368" spans="1:17" ht="14.4" x14ac:dyDescent="0.3">
      <c r="A368" t="s">
        <v>434</v>
      </c>
      <c r="B368" t="s">
        <v>220</v>
      </c>
      <c r="C368" t="s">
        <v>143</v>
      </c>
      <c r="D368">
        <v>0</v>
      </c>
      <c r="E368">
        <v>0</v>
      </c>
      <c r="F368">
        <v>0</v>
      </c>
      <c r="G368">
        <v>0</v>
      </c>
      <c r="H368">
        <v>0</v>
      </c>
      <c r="I368">
        <v>0</v>
      </c>
      <c r="J368">
        <v>0</v>
      </c>
      <c r="K368" t="s">
        <v>20</v>
      </c>
      <c r="L368">
        <v>0</v>
      </c>
      <c r="M368">
        <v>5000001</v>
      </c>
      <c r="N368">
        <v>0</v>
      </c>
      <c r="O368">
        <v>0</v>
      </c>
      <c r="P368">
        <v>0</v>
      </c>
      <c r="Q368" t="str">
        <f t="shared" si="6"/>
        <v>23mh1a4944@aect.dummy.in</v>
      </c>
    </row>
    <row r="369" spans="1:17" ht="14.4" x14ac:dyDescent="0.3">
      <c r="A369" t="s">
        <v>435</v>
      </c>
      <c r="B369" t="s">
        <v>220</v>
      </c>
      <c r="C369" t="s">
        <v>143</v>
      </c>
      <c r="D369">
        <v>0</v>
      </c>
      <c r="E369">
        <v>0</v>
      </c>
      <c r="F369">
        <v>0</v>
      </c>
      <c r="G369">
        <v>0</v>
      </c>
      <c r="H369">
        <v>4</v>
      </c>
      <c r="I369">
        <v>1</v>
      </c>
      <c r="J369">
        <v>0</v>
      </c>
      <c r="K369" t="s">
        <v>20</v>
      </c>
      <c r="L369">
        <v>0</v>
      </c>
      <c r="M369">
        <v>5000001</v>
      </c>
      <c r="N369">
        <v>0</v>
      </c>
      <c r="O369">
        <v>0</v>
      </c>
      <c r="P369">
        <v>47</v>
      </c>
      <c r="Q369" t="str">
        <f t="shared" si="6"/>
        <v>23mh1a4945@aect.dummy.in</v>
      </c>
    </row>
    <row r="370" spans="1:17" ht="14.4" x14ac:dyDescent="0.3">
      <c r="A370" t="s">
        <v>436</v>
      </c>
      <c r="B370" t="s">
        <v>220</v>
      </c>
      <c r="C370" t="s">
        <v>143</v>
      </c>
      <c r="D370">
        <v>0</v>
      </c>
      <c r="E370">
        <v>0</v>
      </c>
      <c r="F370">
        <v>0</v>
      </c>
      <c r="G370">
        <v>0</v>
      </c>
      <c r="H370">
        <v>0</v>
      </c>
      <c r="I370">
        <v>0</v>
      </c>
      <c r="J370">
        <v>0</v>
      </c>
      <c r="K370" t="s">
        <v>20</v>
      </c>
      <c r="L370">
        <v>0</v>
      </c>
      <c r="M370">
        <v>5000001</v>
      </c>
      <c r="N370">
        <v>0</v>
      </c>
      <c r="O370">
        <v>0</v>
      </c>
      <c r="P370">
        <v>0</v>
      </c>
      <c r="Q370" t="str">
        <f t="shared" si="6"/>
        <v>23mh1a4946@aect.dummy.in</v>
      </c>
    </row>
    <row r="371" spans="1:17" ht="14.4" x14ac:dyDescent="0.3">
      <c r="A371" t="s">
        <v>437</v>
      </c>
      <c r="B371" t="s">
        <v>220</v>
      </c>
      <c r="C371" t="s">
        <v>143</v>
      </c>
      <c r="D371">
        <v>0</v>
      </c>
      <c r="E371">
        <v>0</v>
      </c>
      <c r="F371">
        <v>1</v>
      </c>
      <c r="G371">
        <v>1</v>
      </c>
      <c r="H371">
        <v>2</v>
      </c>
      <c r="I371">
        <v>3</v>
      </c>
      <c r="J371">
        <v>1</v>
      </c>
      <c r="K371" t="s">
        <v>71</v>
      </c>
      <c r="L371">
        <v>15</v>
      </c>
      <c r="M371">
        <v>3764769</v>
      </c>
      <c r="N371">
        <v>13</v>
      </c>
      <c r="O371">
        <v>18</v>
      </c>
      <c r="P371">
        <v>60</v>
      </c>
      <c r="Q371" t="str">
        <f t="shared" si="6"/>
        <v>23mh1a4957@aect.dummy.in</v>
      </c>
    </row>
    <row r="372" spans="1:17" ht="14.4" x14ac:dyDescent="0.3">
      <c r="A372" t="s">
        <v>438</v>
      </c>
      <c r="B372" t="s">
        <v>220</v>
      </c>
      <c r="C372" t="s">
        <v>143</v>
      </c>
      <c r="D372">
        <v>0</v>
      </c>
      <c r="E372">
        <v>0</v>
      </c>
      <c r="F372">
        <v>0</v>
      </c>
      <c r="G372">
        <v>0</v>
      </c>
      <c r="H372">
        <v>0</v>
      </c>
      <c r="I372">
        <v>0</v>
      </c>
      <c r="J372">
        <v>0</v>
      </c>
      <c r="K372" t="s">
        <v>20</v>
      </c>
      <c r="L372">
        <v>0</v>
      </c>
      <c r="M372">
        <v>5000001</v>
      </c>
      <c r="N372">
        <v>0</v>
      </c>
      <c r="O372">
        <v>0</v>
      </c>
      <c r="P372">
        <v>0</v>
      </c>
      <c r="Q372" t="str">
        <f t="shared" si="6"/>
        <v>23mh1a4962@aect.dummy.in</v>
      </c>
    </row>
    <row r="373" spans="1:17" ht="14.4" x14ac:dyDescent="0.3">
      <c r="A373" t="s">
        <v>439</v>
      </c>
      <c r="B373" t="s">
        <v>220</v>
      </c>
      <c r="C373" t="s">
        <v>143</v>
      </c>
      <c r="D373">
        <v>0</v>
      </c>
      <c r="E373">
        <v>0</v>
      </c>
      <c r="F373">
        <v>0</v>
      </c>
      <c r="G373">
        <v>1</v>
      </c>
      <c r="H373">
        <v>0</v>
      </c>
      <c r="I373">
        <v>1</v>
      </c>
      <c r="J373">
        <v>0</v>
      </c>
      <c r="K373" t="s">
        <v>20</v>
      </c>
      <c r="L373">
        <v>120</v>
      </c>
      <c r="M373">
        <v>1031435</v>
      </c>
      <c r="N373">
        <v>0</v>
      </c>
      <c r="O373">
        <v>0</v>
      </c>
      <c r="P373">
        <v>2</v>
      </c>
      <c r="Q373" t="str">
        <f t="shared" si="6"/>
        <v>23mh1a4963@aect.dummy.in</v>
      </c>
    </row>
    <row r="374" spans="1:17" ht="14.4" x14ac:dyDescent="0.3">
      <c r="A374" t="s">
        <v>440</v>
      </c>
      <c r="B374" t="s">
        <v>220</v>
      </c>
      <c r="C374" t="s">
        <v>189</v>
      </c>
      <c r="D374">
        <v>0</v>
      </c>
      <c r="E374">
        <v>0</v>
      </c>
      <c r="F374">
        <v>0</v>
      </c>
      <c r="G374">
        <v>0</v>
      </c>
      <c r="H374">
        <v>0</v>
      </c>
      <c r="I374">
        <v>0</v>
      </c>
      <c r="J374">
        <v>0</v>
      </c>
      <c r="K374" t="s">
        <v>20</v>
      </c>
      <c r="L374">
        <v>0</v>
      </c>
      <c r="M374">
        <v>5000001</v>
      </c>
      <c r="N374">
        <v>0</v>
      </c>
      <c r="O374">
        <v>0</v>
      </c>
      <c r="P374">
        <v>0</v>
      </c>
      <c r="Q374" t="str">
        <f t="shared" si="6"/>
        <v>23p31a0428@aect.dummy.in</v>
      </c>
    </row>
    <row r="375" spans="1:17" ht="14.4" x14ac:dyDescent="0.3">
      <c r="A375" t="s">
        <v>441</v>
      </c>
      <c r="B375" t="s">
        <v>220</v>
      </c>
      <c r="C375" t="s">
        <v>189</v>
      </c>
      <c r="D375">
        <v>1</v>
      </c>
      <c r="E375">
        <v>0</v>
      </c>
      <c r="F375">
        <v>0</v>
      </c>
      <c r="G375">
        <v>0</v>
      </c>
      <c r="H375">
        <v>0</v>
      </c>
      <c r="I375">
        <v>1</v>
      </c>
      <c r="J375">
        <v>0</v>
      </c>
      <c r="K375" t="s">
        <v>20</v>
      </c>
      <c r="L375">
        <v>0</v>
      </c>
      <c r="M375">
        <v>5000001</v>
      </c>
      <c r="N375">
        <v>0</v>
      </c>
      <c r="O375">
        <v>0</v>
      </c>
      <c r="P375">
        <v>73</v>
      </c>
      <c r="Q375" t="str">
        <f t="shared" si="6"/>
        <v>23p31a0435@aect.dummy.in</v>
      </c>
    </row>
    <row r="376" spans="1:17" ht="14.4" x14ac:dyDescent="0.3">
      <c r="A376" t="s">
        <v>442</v>
      </c>
      <c r="B376" t="s">
        <v>220</v>
      </c>
      <c r="C376" t="s">
        <v>189</v>
      </c>
      <c r="D376">
        <v>0</v>
      </c>
      <c r="E376">
        <v>0</v>
      </c>
      <c r="F376">
        <v>0</v>
      </c>
      <c r="G376">
        <v>0</v>
      </c>
      <c r="H376">
        <v>0</v>
      </c>
      <c r="I376">
        <v>0</v>
      </c>
      <c r="J376">
        <v>0</v>
      </c>
      <c r="K376" t="s">
        <v>20</v>
      </c>
      <c r="L376">
        <v>0</v>
      </c>
      <c r="M376">
        <v>5000001</v>
      </c>
      <c r="N376">
        <v>0</v>
      </c>
      <c r="O376">
        <v>0</v>
      </c>
      <c r="P376">
        <v>0</v>
      </c>
      <c r="Q376" t="str">
        <f t="shared" si="6"/>
        <v>23p31a0437@aect.dummy.in</v>
      </c>
    </row>
    <row r="377" spans="1:17" ht="14.4" x14ac:dyDescent="0.3">
      <c r="A377" t="s">
        <v>443</v>
      </c>
      <c r="B377" t="s">
        <v>220</v>
      </c>
      <c r="C377" t="s">
        <v>189</v>
      </c>
      <c r="D377">
        <v>4</v>
      </c>
      <c r="E377">
        <v>0</v>
      </c>
      <c r="F377">
        <v>0</v>
      </c>
      <c r="G377">
        <v>0</v>
      </c>
      <c r="H377">
        <v>0</v>
      </c>
      <c r="I377">
        <v>1</v>
      </c>
      <c r="J377">
        <v>0</v>
      </c>
      <c r="K377" t="s">
        <v>20</v>
      </c>
      <c r="L377">
        <v>0</v>
      </c>
      <c r="M377">
        <v>5000001</v>
      </c>
      <c r="N377">
        <v>0</v>
      </c>
      <c r="O377">
        <v>0</v>
      </c>
      <c r="P377">
        <v>225</v>
      </c>
      <c r="Q377" t="str">
        <f t="shared" si="6"/>
        <v>23p31a0446@aect.dummy.in</v>
      </c>
    </row>
    <row r="378" spans="1:17" ht="14.4" x14ac:dyDescent="0.3">
      <c r="A378" t="s">
        <v>444</v>
      </c>
      <c r="B378" t="s">
        <v>220</v>
      </c>
      <c r="C378" t="s">
        <v>189</v>
      </c>
      <c r="D378">
        <v>0</v>
      </c>
      <c r="E378">
        <v>0</v>
      </c>
      <c r="F378">
        <v>0</v>
      </c>
      <c r="G378">
        <v>0</v>
      </c>
      <c r="H378">
        <v>0</v>
      </c>
      <c r="I378">
        <v>0</v>
      </c>
      <c r="J378">
        <v>0</v>
      </c>
      <c r="K378" t="s">
        <v>20</v>
      </c>
      <c r="L378">
        <v>0</v>
      </c>
      <c r="M378">
        <v>5000001</v>
      </c>
      <c r="N378">
        <v>0</v>
      </c>
      <c r="O378">
        <v>0</v>
      </c>
      <c r="P378">
        <v>0</v>
      </c>
      <c r="Q378" t="str">
        <f t="shared" ref="Q378:Q441" si="7">LOWER(A378) &amp;"@aect.dummy.in"</f>
        <v>23p31a0449@aect.dummy.in</v>
      </c>
    </row>
    <row r="379" spans="1:17" ht="14.4" x14ac:dyDescent="0.3">
      <c r="A379" t="s">
        <v>445</v>
      </c>
      <c r="B379" t="s">
        <v>220</v>
      </c>
      <c r="C379" t="s">
        <v>189</v>
      </c>
      <c r="D379">
        <v>0</v>
      </c>
      <c r="E379">
        <v>0</v>
      </c>
      <c r="F379">
        <v>0</v>
      </c>
      <c r="G379">
        <v>0</v>
      </c>
      <c r="H379">
        <v>0</v>
      </c>
      <c r="I379">
        <v>0</v>
      </c>
      <c r="J379">
        <v>0</v>
      </c>
      <c r="K379" t="s">
        <v>20</v>
      </c>
      <c r="L379">
        <v>0</v>
      </c>
      <c r="M379">
        <v>5000001</v>
      </c>
      <c r="N379">
        <v>0</v>
      </c>
      <c r="O379">
        <v>0</v>
      </c>
      <c r="P379">
        <v>0</v>
      </c>
      <c r="Q379" t="str">
        <f t="shared" si="7"/>
        <v>23p31a0467@aect.dummy.in</v>
      </c>
    </row>
    <row r="380" spans="1:17" ht="14.4" x14ac:dyDescent="0.3">
      <c r="A380" t="s">
        <v>446</v>
      </c>
      <c r="B380" t="s">
        <v>220</v>
      </c>
      <c r="C380" t="s">
        <v>189</v>
      </c>
      <c r="D380">
        <v>0</v>
      </c>
      <c r="E380">
        <v>0</v>
      </c>
      <c r="F380">
        <v>0</v>
      </c>
      <c r="G380">
        <v>0</v>
      </c>
      <c r="H380">
        <v>0</v>
      </c>
      <c r="I380">
        <v>0</v>
      </c>
      <c r="J380">
        <v>0</v>
      </c>
      <c r="K380" t="s">
        <v>20</v>
      </c>
      <c r="L380">
        <v>0</v>
      </c>
      <c r="M380">
        <v>5000001</v>
      </c>
      <c r="N380">
        <v>0</v>
      </c>
      <c r="O380">
        <v>0</v>
      </c>
      <c r="P380">
        <v>0</v>
      </c>
      <c r="Q380" t="str">
        <f t="shared" si="7"/>
        <v>23p31a0476@aect.dummy.in</v>
      </c>
    </row>
    <row r="381" spans="1:17" ht="14.4" x14ac:dyDescent="0.3">
      <c r="A381" t="s">
        <v>447</v>
      </c>
      <c r="B381" t="s">
        <v>220</v>
      </c>
      <c r="C381" t="s">
        <v>189</v>
      </c>
      <c r="D381">
        <v>0</v>
      </c>
      <c r="E381">
        <v>0</v>
      </c>
      <c r="F381">
        <v>0</v>
      </c>
      <c r="G381">
        <v>3</v>
      </c>
      <c r="H381">
        <v>0</v>
      </c>
      <c r="I381">
        <v>1</v>
      </c>
      <c r="J381">
        <v>0</v>
      </c>
      <c r="K381" t="s">
        <v>20</v>
      </c>
      <c r="L381">
        <v>6</v>
      </c>
      <c r="M381">
        <v>5000001</v>
      </c>
      <c r="N381">
        <v>0</v>
      </c>
      <c r="O381">
        <v>0</v>
      </c>
      <c r="P381">
        <v>461</v>
      </c>
      <c r="Q381" t="str">
        <f t="shared" si="7"/>
        <v>23p31a0486@aect.dummy.in</v>
      </c>
    </row>
    <row r="382" spans="1:17" ht="14.4" x14ac:dyDescent="0.3">
      <c r="A382" t="s">
        <v>448</v>
      </c>
      <c r="B382" t="s">
        <v>220</v>
      </c>
      <c r="C382" t="s">
        <v>189</v>
      </c>
      <c r="D382">
        <v>1</v>
      </c>
      <c r="E382">
        <v>0</v>
      </c>
      <c r="F382">
        <v>0</v>
      </c>
      <c r="G382">
        <v>1</v>
      </c>
      <c r="H382">
        <v>0</v>
      </c>
      <c r="I382">
        <v>2</v>
      </c>
      <c r="J382">
        <v>0</v>
      </c>
      <c r="K382" t="s">
        <v>20</v>
      </c>
      <c r="L382">
        <v>0</v>
      </c>
      <c r="M382">
        <v>5000001</v>
      </c>
      <c r="N382">
        <v>0</v>
      </c>
      <c r="O382">
        <v>0</v>
      </c>
      <c r="P382">
        <v>8</v>
      </c>
      <c r="Q382" t="str">
        <f t="shared" si="7"/>
        <v>23p31a0491@aect.dummy.in</v>
      </c>
    </row>
    <row r="383" spans="1:17" ht="14.4" x14ac:dyDescent="0.3">
      <c r="A383" t="s">
        <v>449</v>
      </c>
      <c r="B383" t="s">
        <v>220</v>
      </c>
      <c r="C383" t="s">
        <v>189</v>
      </c>
      <c r="D383">
        <v>0</v>
      </c>
      <c r="E383">
        <v>0</v>
      </c>
      <c r="F383">
        <v>0</v>
      </c>
      <c r="G383">
        <v>0</v>
      </c>
      <c r="H383">
        <v>0</v>
      </c>
      <c r="I383">
        <v>0</v>
      </c>
      <c r="J383">
        <v>0</v>
      </c>
      <c r="K383" t="s">
        <v>20</v>
      </c>
      <c r="L383">
        <v>0</v>
      </c>
      <c r="M383">
        <v>5000001</v>
      </c>
      <c r="N383">
        <v>0</v>
      </c>
      <c r="O383">
        <v>0</v>
      </c>
      <c r="P383">
        <v>0</v>
      </c>
      <c r="Q383" t="str">
        <f t="shared" si="7"/>
        <v>23p31a0496@aect.dummy.in</v>
      </c>
    </row>
    <row r="384" spans="1:17" ht="14.4" x14ac:dyDescent="0.3">
      <c r="A384" t="s">
        <v>450</v>
      </c>
      <c r="B384" t="s">
        <v>220</v>
      </c>
      <c r="C384" t="s">
        <v>189</v>
      </c>
      <c r="D384">
        <v>0</v>
      </c>
      <c r="E384">
        <v>0</v>
      </c>
      <c r="F384">
        <v>0</v>
      </c>
      <c r="G384">
        <v>0</v>
      </c>
      <c r="H384">
        <v>0</v>
      </c>
      <c r="I384">
        <v>0</v>
      </c>
      <c r="J384">
        <v>0</v>
      </c>
      <c r="K384" t="s">
        <v>20</v>
      </c>
      <c r="L384">
        <v>2</v>
      </c>
      <c r="M384">
        <v>5000001</v>
      </c>
      <c r="N384">
        <v>43</v>
      </c>
      <c r="O384">
        <v>52</v>
      </c>
      <c r="P384">
        <v>107</v>
      </c>
      <c r="Q384" t="str">
        <f t="shared" si="7"/>
        <v>23p31a04b3@aect.dummy.in</v>
      </c>
    </row>
    <row r="385" spans="1:17" ht="14.4" x14ac:dyDescent="0.3">
      <c r="A385" t="s">
        <v>451</v>
      </c>
      <c r="B385" t="s">
        <v>220</v>
      </c>
      <c r="C385" t="s">
        <v>189</v>
      </c>
      <c r="D385">
        <v>4</v>
      </c>
      <c r="E385">
        <v>0</v>
      </c>
      <c r="F385">
        <v>0</v>
      </c>
      <c r="G385">
        <v>0</v>
      </c>
      <c r="H385">
        <v>0</v>
      </c>
      <c r="I385">
        <v>1</v>
      </c>
      <c r="J385">
        <v>0</v>
      </c>
      <c r="K385" t="s">
        <v>20</v>
      </c>
      <c r="L385">
        <v>0</v>
      </c>
      <c r="M385">
        <v>5000001</v>
      </c>
      <c r="N385">
        <v>0</v>
      </c>
      <c r="O385">
        <v>0</v>
      </c>
      <c r="P385">
        <v>23</v>
      </c>
      <c r="Q385" t="str">
        <f t="shared" si="7"/>
        <v>23p31a04b8@aect.dummy.in</v>
      </c>
    </row>
    <row r="386" spans="1:17" ht="14.4" x14ac:dyDescent="0.3">
      <c r="A386" t="s">
        <v>452</v>
      </c>
      <c r="B386" t="s">
        <v>220</v>
      </c>
      <c r="C386" t="s">
        <v>189</v>
      </c>
      <c r="D386">
        <v>4</v>
      </c>
      <c r="E386">
        <v>0</v>
      </c>
      <c r="F386">
        <v>0</v>
      </c>
      <c r="G386">
        <v>0</v>
      </c>
      <c r="H386">
        <v>0</v>
      </c>
      <c r="I386">
        <v>1</v>
      </c>
      <c r="J386">
        <v>0</v>
      </c>
      <c r="K386" t="s">
        <v>20</v>
      </c>
      <c r="L386">
        <v>0</v>
      </c>
      <c r="M386">
        <v>5000001</v>
      </c>
      <c r="N386">
        <v>0</v>
      </c>
      <c r="O386">
        <v>0</v>
      </c>
      <c r="P386">
        <v>3</v>
      </c>
      <c r="Q386" t="str">
        <f t="shared" si="7"/>
        <v>23p31a04c4@aect.dummy.in</v>
      </c>
    </row>
    <row r="387" spans="1:17" ht="14.4" x14ac:dyDescent="0.3">
      <c r="A387" t="s">
        <v>453</v>
      </c>
      <c r="B387" t="s">
        <v>220</v>
      </c>
      <c r="C387" t="s">
        <v>189</v>
      </c>
      <c r="D387">
        <v>0</v>
      </c>
      <c r="E387">
        <v>0</v>
      </c>
      <c r="F387">
        <v>0</v>
      </c>
      <c r="G387">
        <v>0</v>
      </c>
      <c r="H387">
        <v>0</v>
      </c>
      <c r="I387">
        <v>0</v>
      </c>
      <c r="J387">
        <v>0</v>
      </c>
      <c r="K387" t="s">
        <v>20</v>
      </c>
      <c r="L387">
        <v>0</v>
      </c>
      <c r="M387">
        <v>5000001</v>
      </c>
      <c r="N387">
        <v>0</v>
      </c>
      <c r="O387">
        <v>0</v>
      </c>
      <c r="P387">
        <v>2</v>
      </c>
      <c r="Q387" t="str">
        <f t="shared" si="7"/>
        <v>23p31a04c7@aect.dummy.in</v>
      </c>
    </row>
    <row r="388" spans="1:17" ht="14.4" x14ac:dyDescent="0.3">
      <c r="A388" t="s">
        <v>454</v>
      </c>
      <c r="B388" t="s">
        <v>220</v>
      </c>
      <c r="C388" t="s">
        <v>189</v>
      </c>
      <c r="D388">
        <v>5</v>
      </c>
      <c r="E388">
        <v>0</v>
      </c>
      <c r="F388">
        <v>0</v>
      </c>
      <c r="G388">
        <v>1</v>
      </c>
      <c r="H388">
        <v>0</v>
      </c>
      <c r="I388">
        <v>2</v>
      </c>
      <c r="J388">
        <v>0</v>
      </c>
      <c r="K388" t="s">
        <v>20</v>
      </c>
      <c r="L388">
        <v>0</v>
      </c>
      <c r="M388">
        <v>5000001</v>
      </c>
      <c r="N388">
        <v>0</v>
      </c>
      <c r="O388">
        <v>0</v>
      </c>
      <c r="P388">
        <v>42</v>
      </c>
      <c r="Q388" t="str">
        <f t="shared" si="7"/>
        <v>23p31a04e4@aect.dummy.in</v>
      </c>
    </row>
    <row r="389" spans="1:17" ht="14.4" x14ac:dyDescent="0.3">
      <c r="A389" t="s">
        <v>455</v>
      </c>
      <c r="B389" t="s">
        <v>220</v>
      </c>
      <c r="C389" t="s">
        <v>189</v>
      </c>
      <c r="D389">
        <v>5</v>
      </c>
      <c r="E389">
        <v>0</v>
      </c>
      <c r="F389">
        <v>0</v>
      </c>
      <c r="G389">
        <v>2</v>
      </c>
      <c r="H389">
        <v>0</v>
      </c>
      <c r="I389">
        <v>2</v>
      </c>
      <c r="J389">
        <v>0</v>
      </c>
      <c r="K389" t="s">
        <v>20</v>
      </c>
      <c r="L389">
        <v>0</v>
      </c>
      <c r="M389">
        <v>5000001</v>
      </c>
      <c r="N389">
        <v>0</v>
      </c>
      <c r="O389">
        <v>0</v>
      </c>
      <c r="P389">
        <v>308</v>
      </c>
      <c r="Q389" t="str">
        <f t="shared" si="7"/>
        <v>23p31a04f8@aect.dummy.in</v>
      </c>
    </row>
    <row r="390" spans="1:17" ht="14.4" x14ac:dyDescent="0.3">
      <c r="A390" t="s">
        <v>456</v>
      </c>
      <c r="B390" t="s">
        <v>220</v>
      </c>
      <c r="C390" t="s">
        <v>189</v>
      </c>
      <c r="D390">
        <v>0</v>
      </c>
      <c r="E390">
        <v>0</v>
      </c>
      <c r="F390">
        <v>0</v>
      </c>
      <c r="G390">
        <v>0</v>
      </c>
      <c r="H390">
        <v>0</v>
      </c>
      <c r="I390">
        <v>0</v>
      </c>
      <c r="J390">
        <v>0</v>
      </c>
      <c r="K390" t="s">
        <v>20</v>
      </c>
      <c r="L390">
        <v>3</v>
      </c>
      <c r="M390">
        <v>5000001</v>
      </c>
      <c r="N390">
        <v>3</v>
      </c>
      <c r="O390">
        <v>8</v>
      </c>
      <c r="P390">
        <v>11</v>
      </c>
      <c r="Q390" t="str">
        <f t="shared" si="7"/>
        <v>23p31a04i5@aect.dummy.in</v>
      </c>
    </row>
    <row r="391" spans="1:17" ht="14.4" x14ac:dyDescent="0.3">
      <c r="A391" t="s">
        <v>457</v>
      </c>
      <c r="B391" t="s">
        <v>220</v>
      </c>
      <c r="C391" t="s">
        <v>189</v>
      </c>
      <c r="D391">
        <v>0</v>
      </c>
      <c r="E391">
        <v>0</v>
      </c>
      <c r="F391">
        <v>0</v>
      </c>
      <c r="G391">
        <v>2</v>
      </c>
      <c r="H391">
        <v>0</v>
      </c>
      <c r="I391">
        <v>1</v>
      </c>
      <c r="J391">
        <v>0</v>
      </c>
      <c r="K391" t="s">
        <v>20</v>
      </c>
      <c r="L391">
        <v>3</v>
      </c>
      <c r="M391">
        <v>5000001</v>
      </c>
      <c r="N391">
        <v>0</v>
      </c>
      <c r="O391">
        <v>0</v>
      </c>
      <c r="P391">
        <v>534</v>
      </c>
      <c r="Q391" t="str">
        <f t="shared" si="7"/>
        <v>23p31a04i8@aect.dummy.in</v>
      </c>
    </row>
    <row r="392" spans="1:17" ht="14.4" x14ac:dyDescent="0.3">
      <c r="A392" t="s">
        <v>458</v>
      </c>
      <c r="B392" t="s">
        <v>220</v>
      </c>
      <c r="C392" t="s">
        <v>189</v>
      </c>
      <c r="D392">
        <v>5</v>
      </c>
      <c r="E392">
        <v>0</v>
      </c>
      <c r="F392">
        <v>0</v>
      </c>
      <c r="G392">
        <v>0</v>
      </c>
      <c r="H392">
        <v>0</v>
      </c>
      <c r="I392">
        <v>1</v>
      </c>
      <c r="J392">
        <v>0</v>
      </c>
      <c r="K392" t="s">
        <v>20</v>
      </c>
      <c r="L392">
        <v>0</v>
      </c>
      <c r="M392">
        <v>5000001</v>
      </c>
      <c r="N392">
        <v>0</v>
      </c>
      <c r="O392">
        <v>0</v>
      </c>
      <c r="P392">
        <v>13</v>
      </c>
      <c r="Q392" t="str">
        <f t="shared" si="7"/>
        <v>23p31a04j0@aect.dummy.in</v>
      </c>
    </row>
    <row r="393" spans="1:17" ht="14.4" x14ac:dyDescent="0.3">
      <c r="A393" t="s">
        <v>459</v>
      </c>
      <c r="B393" t="s">
        <v>220</v>
      </c>
      <c r="C393" t="s">
        <v>189</v>
      </c>
      <c r="D393">
        <v>3</v>
      </c>
      <c r="E393">
        <v>0</v>
      </c>
      <c r="F393">
        <v>3</v>
      </c>
      <c r="G393">
        <v>3</v>
      </c>
      <c r="H393">
        <v>5</v>
      </c>
      <c r="I393">
        <v>5</v>
      </c>
      <c r="J393">
        <v>1</v>
      </c>
      <c r="K393" t="s">
        <v>71</v>
      </c>
      <c r="L393">
        <v>148</v>
      </c>
      <c r="M393">
        <v>846181</v>
      </c>
      <c r="N393">
        <v>42</v>
      </c>
      <c r="O393">
        <v>85</v>
      </c>
      <c r="P393">
        <v>223</v>
      </c>
      <c r="Q393" t="str">
        <f t="shared" si="7"/>
        <v>23p31a0501@aect.dummy.in</v>
      </c>
    </row>
    <row r="394" spans="1:17" ht="14.4" x14ac:dyDescent="0.3">
      <c r="A394" t="s">
        <v>460</v>
      </c>
      <c r="B394" t="s">
        <v>220</v>
      </c>
      <c r="C394" t="s">
        <v>189</v>
      </c>
      <c r="D394">
        <v>3</v>
      </c>
      <c r="E394">
        <v>2</v>
      </c>
      <c r="F394">
        <v>2</v>
      </c>
      <c r="G394">
        <v>2</v>
      </c>
      <c r="H394">
        <v>4</v>
      </c>
      <c r="I394">
        <v>6</v>
      </c>
      <c r="J394">
        <v>2</v>
      </c>
      <c r="K394" t="s">
        <v>67</v>
      </c>
      <c r="L394">
        <v>137</v>
      </c>
      <c r="M394">
        <v>912265</v>
      </c>
      <c r="N394">
        <v>137</v>
      </c>
      <c r="O394">
        <v>196</v>
      </c>
      <c r="P394">
        <v>289</v>
      </c>
      <c r="Q394" t="str">
        <f t="shared" si="7"/>
        <v>23p31a0502@aect.dummy.in</v>
      </c>
    </row>
    <row r="395" spans="1:17" ht="14.4" x14ac:dyDescent="0.3">
      <c r="A395" t="s">
        <v>461</v>
      </c>
      <c r="B395" t="s">
        <v>220</v>
      </c>
      <c r="C395" t="s">
        <v>189</v>
      </c>
      <c r="D395">
        <v>3</v>
      </c>
      <c r="E395">
        <v>3</v>
      </c>
      <c r="F395">
        <v>0</v>
      </c>
      <c r="G395">
        <v>3</v>
      </c>
      <c r="H395">
        <v>5</v>
      </c>
      <c r="I395">
        <v>5</v>
      </c>
      <c r="J395">
        <v>2</v>
      </c>
      <c r="K395" t="s">
        <v>67</v>
      </c>
      <c r="L395">
        <v>117</v>
      </c>
      <c r="M395">
        <v>1054255</v>
      </c>
      <c r="N395">
        <v>34</v>
      </c>
      <c r="O395">
        <v>76</v>
      </c>
      <c r="P395">
        <v>570</v>
      </c>
      <c r="Q395" t="str">
        <f t="shared" si="7"/>
        <v>23p31a0503@aect.dummy.in</v>
      </c>
    </row>
    <row r="396" spans="1:17" ht="14.4" x14ac:dyDescent="0.3">
      <c r="A396" t="s">
        <v>462</v>
      </c>
      <c r="B396" t="s">
        <v>220</v>
      </c>
      <c r="C396" t="s">
        <v>189</v>
      </c>
      <c r="D396">
        <v>3</v>
      </c>
      <c r="E396">
        <v>0</v>
      </c>
      <c r="F396">
        <v>0</v>
      </c>
      <c r="G396">
        <v>1</v>
      </c>
      <c r="H396">
        <v>5</v>
      </c>
      <c r="I396">
        <v>3</v>
      </c>
      <c r="J396">
        <v>2</v>
      </c>
      <c r="K396" t="s">
        <v>67</v>
      </c>
      <c r="L396">
        <v>20</v>
      </c>
      <c r="M396">
        <v>3292306</v>
      </c>
      <c r="N396">
        <v>0</v>
      </c>
      <c r="O396">
        <v>0</v>
      </c>
      <c r="P396">
        <v>321</v>
      </c>
      <c r="Q396" t="str">
        <f t="shared" si="7"/>
        <v>23p31a0504@aect.dummy.in</v>
      </c>
    </row>
    <row r="397" spans="1:17" ht="14.4" x14ac:dyDescent="0.3">
      <c r="A397" t="s">
        <v>463</v>
      </c>
      <c r="B397" t="s">
        <v>220</v>
      </c>
      <c r="C397" t="s">
        <v>189</v>
      </c>
      <c r="D397">
        <v>4</v>
      </c>
      <c r="E397">
        <v>2</v>
      </c>
      <c r="F397">
        <v>2</v>
      </c>
      <c r="G397">
        <v>1</v>
      </c>
      <c r="H397">
        <v>4</v>
      </c>
      <c r="I397">
        <v>6</v>
      </c>
      <c r="J397">
        <v>2</v>
      </c>
      <c r="K397" t="s">
        <v>67</v>
      </c>
      <c r="L397">
        <v>31</v>
      </c>
      <c r="M397">
        <v>2627286</v>
      </c>
      <c r="N397">
        <v>0</v>
      </c>
      <c r="O397">
        <v>0</v>
      </c>
      <c r="P397">
        <v>87</v>
      </c>
      <c r="Q397" t="str">
        <f t="shared" si="7"/>
        <v>23p31a0505@aect.dummy.in</v>
      </c>
    </row>
    <row r="398" spans="1:17" ht="14.4" x14ac:dyDescent="0.3">
      <c r="A398" t="s">
        <v>464</v>
      </c>
      <c r="B398" t="s">
        <v>220</v>
      </c>
      <c r="C398" t="s">
        <v>189</v>
      </c>
      <c r="D398">
        <v>0</v>
      </c>
      <c r="E398">
        <v>0</v>
      </c>
      <c r="F398">
        <v>1</v>
      </c>
      <c r="G398">
        <v>2</v>
      </c>
      <c r="H398">
        <v>5</v>
      </c>
      <c r="I398">
        <v>4</v>
      </c>
      <c r="J398">
        <v>2</v>
      </c>
      <c r="K398" t="s">
        <v>67</v>
      </c>
      <c r="L398">
        <v>29</v>
      </c>
      <c r="M398">
        <v>2725137</v>
      </c>
      <c r="N398">
        <v>0</v>
      </c>
      <c r="O398">
        <v>0</v>
      </c>
      <c r="P398">
        <v>345</v>
      </c>
      <c r="Q398" t="str">
        <f t="shared" si="7"/>
        <v>23p31a0506@aect.dummy.in</v>
      </c>
    </row>
    <row r="399" spans="1:17" ht="14.4" x14ac:dyDescent="0.3">
      <c r="A399" t="s">
        <v>465</v>
      </c>
      <c r="B399" t="s">
        <v>220</v>
      </c>
      <c r="C399" t="s">
        <v>189</v>
      </c>
      <c r="D399">
        <v>1</v>
      </c>
      <c r="E399">
        <v>0</v>
      </c>
      <c r="F399">
        <v>0</v>
      </c>
      <c r="G399">
        <v>0</v>
      </c>
      <c r="H399">
        <v>3</v>
      </c>
      <c r="I399">
        <v>2</v>
      </c>
      <c r="J399">
        <v>2</v>
      </c>
      <c r="K399" t="s">
        <v>67</v>
      </c>
      <c r="L399">
        <v>33</v>
      </c>
      <c r="M399">
        <v>2540826</v>
      </c>
      <c r="N399">
        <v>3</v>
      </c>
      <c r="O399">
        <v>8</v>
      </c>
      <c r="P399">
        <v>530</v>
      </c>
      <c r="Q399" t="str">
        <f t="shared" si="7"/>
        <v>23p31a0507@aect.dummy.in</v>
      </c>
    </row>
    <row r="400" spans="1:17" ht="14.4" x14ac:dyDescent="0.3">
      <c r="A400" t="s">
        <v>466</v>
      </c>
      <c r="B400" t="s">
        <v>220</v>
      </c>
      <c r="C400" t="s">
        <v>189</v>
      </c>
      <c r="D400">
        <v>3</v>
      </c>
      <c r="E400">
        <v>0</v>
      </c>
      <c r="F400">
        <v>1</v>
      </c>
      <c r="G400">
        <v>0</v>
      </c>
      <c r="H400">
        <v>0</v>
      </c>
      <c r="I400">
        <v>3</v>
      </c>
      <c r="J400">
        <v>0</v>
      </c>
      <c r="K400" t="s">
        <v>20</v>
      </c>
      <c r="L400">
        <v>58</v>
      </c>
      <c r="M400">
        <v>1794104</v>
      </c>
      <c r="N400">
        <v>1</v>
      </c>
      <c r="O400">
        <v>2</v>
      </c>
      <c r="P400">
        <v>1141</v>
      </c>
      <c r="Q400" t="str">
        <f t="shared" si="7"/>
        <v>23p31a0508@aect.dummy.in</v>
      </c>
    </row>
    <row r="401" spans="1:17" ht="14.4" x14ac:dyDescent="0.3">
      <c r="A401" t="s">
        <v>467</v>
      </c>
      <c r="B401" t="s">
        <v>220</v>
      </c>
      <c r="C401" t="s">
        <v>189</v>
      </c>
      <c r="D401">
        <v>3</v>
      </c>
      <c r="E401">
        <v>0</v>
      </c>
      <c r="F401">
        <v>0</v>
      </c>
      <c r="G401">
        <v>0</v>
      </c>
      <c r="H401">
        <v>3</v>
      </c>
      <c r="I401">
        <v>2</v>
      </c>
      <c r="J401">
        <v>2</v>
      </c>
      <c r="K401" t="s">
        <v>67</v>
      </c>
      <c r="L401">
        <v>120</v>
      </c>
      <c r="M401">
        <v>1031296</v>
      </c>
      <c r="N401">
        <v>85</v>
      </c>
      <c r="O401">
        <v>117</v>
      </c>
      <c r="P401">
        <v>468</v>
      </c>
      <c r="Q401" t="str">
        <f t="shared" si="7"/>
        <v>23p31a0509@aect.dummy.in</v>
      </c>
    </row>
    <row r="402" spans="1:17" ht="14.4" x14ac:dyDescent="0.3">
      <c r="A402" t="s">
        <v>468</v>
      </c>
      <c r="B402" t="s">
        <v>220</v>
      </c>
      <c r="C402" t="s">
        <v>189</v>
      </c>
      <c r="D402">
        <v>3</v>
      </c>
      <c r="E402">
        <v>0</v>
      </c>
      <c r="F402">
        <v>0</v>
      </c>
      <c r="G402">
        <v>1</v>
      </c>
      <c r="H402">
        <v>4</v>
      </c>
      <c r="I402">
        <v>4</v>
      </c>
      <c r="J402">
        <v>2</v>
      </c>
      <c r="K402" t="s">
        <v>469</v>
      </c>
      <c r="L402">
        <v>49</v>
      </c>
      <c r="M402">
        <v>2010075</v>
      </c>
      <c r="N402">
        <v>0</v>
      </c>
      <c r="O402">
        <v>0</v>
      </c>
      <c r="P402">
        <v>375</v>
      </c>
      <c r="Q402" t="str">
        <f t="shared" si="7"/>
        <v>23p31a0511@aect.dummy.in</v>
      </c>
    </row>
    <row r="403" spans="1:17" ht="14.4" x14ac:dyDescent="0.3">
      <c r="A403" t="s">
        <v>470</v>
      </c>
      <c r="B403" t="s">
        <v>220</v>
      </c>
      <c r="C403" t="s">
        <v>189</v>
      </c>
      <c r="D403">
        <v>3</v>
      </c>
      <c r="E403">
        <v>1</v>
      </c>
      <c r="F403">
        <v>2</v>
      </c>
      <c r="G403">
        <v>1</v>
      </c>
      <c r="H403">
        <v>5</v>
      </c>
      <c r="I403">
        <v>6</v>
      </c>
      <c r="J403">
        <v>3</v>
      </c>
      <c r="K403" t="s">
        <v>334</v>
      </c>
      <c r="L403">
        <v>235</v>
      </c>
      <c r="M403">
        <v>500841</v>
      </c>
      <c r="N403">
        <v>60</v>
      </c>
      <c r="O403">
        <v>182</v>
      </c>
      <c r="P403">
        <v>403</v>
      </c>
      <c r="Q403" t="str">
        <f t="shared" si="7"/>
        <v>23p31a0513@aect.dummy.in</v>
      </c>
    </row>
    <row r="404" spans="1:17" ht="14.4" x14ac:dyDescent="0.3">
      <c r="A404" t="s">
        <v>471</v>
      </c>
      <c r="B404" t="s">
        <v>220</v>
      </c>
      <c r="C404" t="s">
        <v>189</v>
      </c>
      <c r="D404">
        <v>3</v>
      </c>
      <c r="E404">
        <v>0</v>
      </c>
      <c r="F404">
        <v>1</v>
      </c>
      <c r="G404">
        <v>0</v>
      </c>
      <c r="H404">
        <v>5</v>
      </c>
      <c r="I404">
        <v>4</v>
      </c>
      <c r="J404">
        <v>3</v>
      </c>
      <c r="K404" t="s">
        <v>334</v>
      </c>
      <c r="L404">
        <v>191</v>
      </c>
      <c r="M404">
        <v>644465</v>
      </c>
      <c r="N404">
        <v>50</v>
      </c>
      <c r="O404">
        <v>167</v>
      </c>
      <c r="P404">
        <v>447</v>
      </c>
      <c r="Q404" t="str">
        <f t="shared" si="7"/>
        <v>23p31a0514@aect.dummy.in</v>
      </c>
    </row>
    <row r="405" spans="1:17" ht="14.4" x14ac:dyDescent="0.3">
      <c r="A405" t="s">
        <v>472</v>
      </c>
      <c r="B405" t="s">
        <v>220</v>
      </c>
      <c r="C405" t="s">
        <v>189</v>
      </c>
      <c r="D405">
        <v>0</v>
      </c>
      <c r="E405">
        <v>0</v>
      </c>
      <c r="F405">
        <v>0</v>
      </c>
      <c r="G405">
        <v>0</v>
      </c>
      <c r="H405">
        <v>0</v>
      </c>
      <c r="I405">
        <v>0</v>
      </c>
      <c r="J405">
        <v>0</v>
      </c>
      <c r="K405" t="s">
        <v>20</v>
      </c>
      <c r="L405">
        <v>3</v>
      </c>
      <c r="M405">
        <v>5000001</v>
      </c>
      <c r="N405">
        <v>0</v>
      </c>
      <c r="O405">
        <v>0</v>
      </c>
      <c r="P405">
        <v>0</v>
      </c>
      <c r="Q405" t="str">
        <f t="shared" si="7"/>
        <v>23p31a0516@aect.dummy.in</v>
      </c>
    </row>
    <row r="406" spans="1:17" ht="14.4" x14ac:dyDescent="0.3">
      <c r="A406" t="s">
        <v>473</v>
      </c>
      <c r="B406" t="s">
        <v>220</v>
      </c>
      <c r="C406" t="s">
        <v>189</v>
      </c>
      <c r="D406">
        <v>3</v>
      </c>
      <c r="E406">
        <v>2</v>
      </c>
      <c r="F406">
        <v>3</v>
      </c>
      <c r="G406">
        <v>3</v>
      </c>
      <c r="H406">
        <v>4</v>
      </c>
      <c r="I406">
        <v>6</v>
      </c>
      <c r="J406">
        <v>2</v>
      </c>
      <c r="K406" t="s">
        <v>140</v>
      </c>
      <c r="L406">
        <v>96</v>
      </c>
      <c r="M406">
        <v>1246245</v>
      </c>
      <c r="N406">
        <v>80</v>
      </c>
      <c r="O406">
        <v>207</v>
      </c>
      <c r="P406">
        <v>1195</v>
      </c>
      <c r="Q406" t="str">
        <f t="shared" si="7"/>
        <v>23p31a0517@aect.dummy.in</v>
      </c>
    </row>
    <row r="407" spans="1:17" ht="14.4" x14ac:dyDescent="0.3">
      <c r="A407" t="s">
        <v>474</v>
      </c>
      <c r="B407" t="s">
        <v>220</v>
      </c>
      <c r="C407" t="s">
        <v>189</v>
      </c>
      <c r="D407">
        <v>4</v>
      </c>
      <c r="E407">
        <v>3</v>
      </c>
      <c r="F407">
        <v>4</v>
      </c>
      <c r="G407">
        <v>4</v>
      </c>
      <c r="H407">
        <v>4</v>
      </c>
      <c r="I407">
        <v>6</v>
      </c>
      <c r="J407">
        <v>2</v>
      </c>
      <c r="K407" t="s">
        <v>67</v>
      </c>
      <c r="L407">
        <v>440</v>
      </c>
      <c r="M407">
        <v>189038</v>
      </c>
      <c r="N407">
        <v>241</v>
      </c>
      <c r="O407">
        <v>573</v>
      </c>
      <c r="P407">
        <v>802</v>
      </c>
      <c r="Q407" t="str">
        <f t="shared" si="7"/>
        <v>23p31a0519@aect.dummy.in</v>
      </c>
    </row>
    <row r="408" spans="1:17" ht="14.4" x14ac:dyDescent="0.3">
      <c r="A408" t="s">
        <v>475</v>
      </c>
      <c r="B408" t="s">
        <v>220</v>
      </c>
      <c r="C408" t="s">
        <v>189</v>
      </c>
      <c r="D408">
        <v>4</v>
      </c>
      <c r="E408">
        <v>0</v>
      </c>
      <c r="F408">
        <v>0</v>
      </c>
      <c r="G408">
        <v>0</v>
      </c>
      <c r="H408">
        <v>4</v>
      </c>
      <c r="I408">
        <v>2</v>
      </c>
      <c r="J408">
        <v>2</v>
      </c>
      <c r="K408" t="s">
        <v>67</v>
      </c>
      <c r="L408">
        <v>52</v>
      </c>
      <c r="M408">
        <v>1929671</v>
      </c>
      <c r="N408">
        <v>0</v>
      </c>
      <c r="O408">
        <v>0</v>
      </c>
      <c r="P408">
        <v>116</v>
      </c>
      <c r="Q408" t="str">
        <f t="shared" si="7"/>
        <v>23p31a0520@aect.dummy.in</v>
      </c>
    </row>
    <row r="409" spans="1:17" ht="14.4" x14ac:dyDescent="0.3">
      <c r="A409" t="s">
        <v>476</v>
      </c>
      <c r="B409" t="s">
        <v>220</v>
      </c>
      <c r="C409" t="s">
        <v>19</v>
      </c>
      <c r="D409">
        <v>3</v>
      </c>
      <c r="E409">
        <v>0</v>
      </c>
      <c r="F409">
        <v>1</v>
      </c>
      <c r="G409">
        <v>0</v>
      </c>
      <c r="H409">
        <v>3</v>
      </c>
      <c r="I409">
        <v>4</v>
      </c>
      <c r="J409">
        <v>2</v>
      </c>
      <c r="K409" t="s">
        <v>67</v>
      </c>
      <c r="L409">
        <v>47</v>
      </c>
      <c r="M409">
        <v>2060662</v>
      </c>
      <c r="N409">
        <v>5</v>
      </c>
      <c r="O409">
        <v>12</v>
      </c>
      <c r="P409">
        <v>211</v>
      </c>
      <c r="Q409" t="str">
        <f t="shared" si="7"/>
        <v>23p31a0521@aect.dummy.in</v>
      </c>
    </row>
    <row r="410" spans="1:17" ht="14.4" x14ac:dyDescent="0.3">
      <c r="A410" t="s">
        <v>477</v>
      </c>
      <c r="B410" t="s">
        <v>220</v>
      </c>
      <c r="C410" t="s">
        <v>19</v>
      </c>
      <c r="D410">
        <v>4</v>
      </c>
      <c r="E410">
        <v>3</v>
      </c>
      <c r="F410">
        <v>3</v>
      </c>
      <c r="G410">
        <v>3</v>
      </c>
      <c r="H410">
        <v>4</v>
      </c>
      <c r="I410">
        <v>6</v>
      </c>
      <c r="J410">
        <v>2</v>
      </c>
      <c r="K410" t="s">
        <v>67</v>
      </c>
      <c r="L410">
        <v>202</v>
      </c>
      <c r="M410">
        <v>604261</v>
      </c>
      <c r="N410">
        <v>100</v>
      </c>
      <c r="O410">
        <v>202</v>
      </c>
      <c r="P410">
        <v>437</v>
      </c>
      <c r="Q410" t="str">
        <f t="shared" si="7"/>
        <v>23p31a0524@aect.dummy.in</v>
      </c>
    </row>
    <row r="411" spans="1:17" ht="14.4" x14ac:dyDescent="0.3">
      <c r="A411" t="s">
        <v>478</v>
      </c>
      <c r="B411" t="s">
        <v>220</v>
      </c>
      <c r="C411" t="s">
        <v>19</v>
      </c>
      <c r="D411">
        <v>3</v>
      </c>
      <c r="E411">
        <v>0</v>
      </c>
      <c r="F411">
        <v>2</v>
      </c>
      <c r="G411">
        <v>2</v>
      </c>
      <c r="H411">
        <v>5</v>
      </c>
      <c r="I411">
        <v>4</v>
      </c>
      <c r="J411">
        <v>2</v>
      </c>
      <c r="K411" t="s">
        <v>67</v>
      </c>
      <c r="L411">
        <v>37</v>
      </c>
      <c r="M411">
        <v>2379254</v>
      </c>
      <c r="N411">
        <v>2</v>
      </c>
      <c r="O411">
        <v>3</v>
      </c>
      <c r="P411">
        <v>124</v>
      </c>
      <c r="Q411" t="str">
        <f t="shared" si="7"/>
        <v>23p31a0526@aect.dummy.in</v>
      </c>
    </row>
    <row r="412" spans="1:17" ht="14.4" x14ac:dyDescent="0.3">
      <c r="A412" t="s">
        <v>479</v>
      </c>
      <c r="B412" t="s">
        <v>220</v>
      </c>
      <c r="C412" t="s">
        <v>19</v>
      </c>
      <c r="D412">
        <v>3</v>
      </c>
      <c r="E412">
        <v>2</v>
      </c>
      <c r="F412">
        <v>3</v>
      </c>
      <c r="G412">
        <v>3</v>
      </c>
      <c r="H412">
        <v>5</v>
      </c>
      <c r="I412">
        <v>6</v>
      </c>
      <c r="J412">
        <v>3</v>
      </c>
      <c r="K412" t="s">
        <v>334</v>
      </c>
      <c r="L412">
        <v>198</v>
      </c>
      <c r="M412">
        <v>618867</v>
      </c>
      <c r="N412">
        <v>134</v>
      </c>
      <c r="O412">
        <v>330</v>
      </c>
      <c r="P412">
        <v>332</v>
      </c>
      <c r="Q412" t="str">
        <f t="shared" si="7"/>
        <v>23p31a0527@aect.dummy.in</v>
      </c>
    </row>
    <row r="413" spans="1:17" ht="14.4" x14ac:dyDescent="0.3">
      <c r="A413" t="s">
        <v>480</v>
      </c>
      <c r="B413" t="s">
        <v>220</v>
      </c>
      <c r="C413" t="s">
        <v>19</v>
      </c>
      <c r="D413">
        <v>3</v>
      </c>
      <c r="E413">
        <v>4</v>
      </c>
      <c r="F413">
        <v>1</v>
      </c>
      <c r="G413">
        <v>3</v>
      </c>
      <c r="H413">
        <v>4</v>
      </c>
      <c r="I413">
        <v>6</v>
      </c>
      <c r="J413">
        <v>2</v>
      </c>
      <c r="K413" t="s">
        <v>67</v>
      </c>
      <c r="L413">
        <v>144</v>
      </c>
      <c r="M413">
        <v>869516</v>
      </c>
      <c r="N413">
        <v>26</v>
      </c>
      <c r="O413">
        <v>69</v>
      </c>
      <c r="P413">
        <v>151</v>
      </c>
      <c r="Q413" t="str">
        <f t="shared" si="7"/>
        <v>23p31a0528@aect.dummy.in</v>
      </c>
    </row>
    <row r="414" spans="1:17" ht="14.4" x14ac:dyDescent="0.3">
      <c r="A414" t="s">
        <v>481</v>
      </c>
      <c r="B414" t="s">
        <v>220</v>
      </c>
      <c r="C414" t="s">
        <v>19</v>
      </c>
      <c r="D414">
        <v>3</v>
      </c>
      <c r="E414">
        <v>2</v>
      </c>
      <c r="F414">
        <v>2</v>
      </c>
      <c r="G414">
        <v>1</v>
      </c>
      <c r="H414">
        <v>5</v>
      </c>
      <c r="I414">
        <v>6</v>
      </c>
      <c r="J414">
        <v>2</v>
      </c>
      <c r="K414" t="s">
        <v>67</v>
      </c>
      <c r="L414">
        <v>107</v>
      </c>
      <c r="M414">
        <v>1138933</v>
      </c>
      <c r="N414">
        <v>70</v>
      </c>
      <c r="O414">
        <v>127</v>
      </c>
      <c r="P414">
        <v>265</v>
      </c>
      <c r="Q414" t="str">
        <f t="shared" si="7"/>
        <v>23p31a0529@aect.dummy.in</v>
      </c>
    </row>
    <row r="415" spans="1:17" ht="14.4" x14ac:dyDescent="0.3">
      <c r="A415" t="s">
        <v>482</v>
      </c>
      <c r="B415" t="s">
        <v>220</v>
      </c>
      <c r="C415" t="s">
        <v>19</v>
      </c>
      <c r="D415">
        <v>3</v>
      </c>
      <c r="E415">
        <v>1</v>
      </c>
      <c r="F415">
        <v>2</v>
      </c>
      <c r="G415">
        <v>3</v>
      </c>
      <c r="H415">
        <v>4</v>
      </c>
      <c r="I415">
        <v>6</v>
      </c>
      <c r="J415">
        <v>2</v>
      </c>
      <c r="K415" t="s">
        <v>67</v>
      </c>
      <c r="L415">
        <v>134</v>
      </c>
      <c r="M415">
        <v>931783</v>
      </c>
      <c r="N415">
        <v>50</v>
      </c>
      <c r="O415">
        <v>114</v>
      </c>
      <c r="P415">
        <v>176</v>
      </c>
      <c r="Q415" t="str">
        <f t="shared" si="7"/>
        <v>23p31a0530@aect.dummy.in</v>
      </c>
    </row>
    <row r="416" spans="1:17" ht="14.4" x14ac:dyDescent="0.3">
      <c r="A416" t="s">
        <v>483</v>
      </c>
      <c r="B416" t="s">
        <v>220</v>
      </c>
      <c r="C416" t="s">
        <v>19</v>
      </c>
      <c r="D416">
        <v>3</v>
      </c>
      <c r="E416">
        <v>1</v>
      </c>
      <c r="F416">
        <v>3</v>
      </c>
      <c r="G416">
        <v>3</v>
      </c>
      <c r="H416">
        <v>4</v>
      </c>
      <c r="I416">
        <v>6</v>
      </c>
      <c r="J416">
        <v>3</v>
      </c>
      <c r="K416" t="s">
        <v>145</v>
      </c>
      <c r="L416">
        <v>141</v>
      </c>
      <c r="M416">
        <v>887408</v>
      </c>
      <c r="N416">
        <v>35</v>
      </c>
      <c r="O416">
        <v>74</v>
      </c>
      <c r="P416">
        <v>256</v>
      </c>
      <c r="Q416" t="str">
        <f t="shared" si="7"/>
        <v>23p31a0531@aect.dummy.in</v>
      </c>
    </row>
    <row r="417" spans="1:17" ht="14.4" x14ac:dyDescent="0.3">
      <c r="A417" t="s">
        <v>484</v>
      </c>
      <c r="B417" t="s">
        <v>220</v>
      </c>
      <c r="C417" t="s">
        <v>19</v>
      </c>
      <c r="D417">
        <v>3</v>
      </c>
      <c r="E417">
        <v>0</v>
      </c>
      <c r="F417">
        <v>3</v>
      </c>
      <c r="G417">
        <v>2</v>
      </c>
      <c r="H417">
        <v>4</v>
      </c>
      <c r="I417">
        <v>5</v>
      </c>
      <c r="J417">
        <v>2</v>
      </c>
      <c r="K417" t="s">
        <v>67</v>
      </c>
      <c r="L417">
        <v>120</v>
      </c>
      <c r="M417">
        <v>1031063</v>
      </c>
      <c r="N417">
        <v>51</v>
      </c>
      <c r="O417">
        <v>52</v>
      </c>
      <c r="P417">
        <v>645</v>
      </c>
      <c r="Q417" t="str">
        <f t="shared" si="7"/>
        <v>23p31a0532@aect.dummy.in</v>
      </c>
    </row>
    <row r="418" spans="1:17" ht="14.4" x14ac:dyDescent="0.3">
      <c r="A418" t="s">
        <v>485</v>
      </c>
      <c r="B418" t="s">
        <v>220</v>
      </c>
      <c r="C418" t="s">
        <v>36</v>
      </c>
      <c r="D418">
        <v>3</v>
      </c>
      <c r="E418">
        <v>0</v>
      </c>
      <c r="F418">
        <v>0</v>
      </c>
      <c r="G418">
        <v>2</v>
      </c>
      <c r="H418">
        <v>4</v>
      </c>
      <c r="I418">
        <v>4</v>
      </c>
      <c r="J418">
        <v>2</v>
      </c>
      <c r="K418" t="s">
        <v>67</v>
      </c>
      <c r="L418">
        <v>6</v>
      </c>
      <c r="M418">
        <v>5000001</v>
      </c>
      <c r="N418">
        <v>1</v>
      </c>
      <c r="O418">
        <v>2</v>
      </c>
      <c r="P418">
        <v>500</v>
      </c>
      <c r="Q418" t="str">
        <f t="shared" si="7"/>
        <v>23p31a0534@aect.dummy.in</v>
      </c>
    </row>
    <row r="419" spans="1:17" ht="14.4" x14ac:dyDescent="0.3">
      <c r="A419" t="s">
        <v>486</v>
      </c>
      <c r="B419" t="s">
        <v>220</v>
      </c>
      <c r="C419" t="s">
        <v>36</v>
      </c>
      <c r="D419">
        <v>3</v>
      </c>
      <c r="E419">
        <v>0</v>
      </c>
      <c r="F419">
        <v>2</v>
      </c>
      <c r="G419">
        <v>0</v>
      </c>
      <c r="H419">
        <v>4</v>
      </c>
      <c r="I419">
        <v>4</v>
      </c>
      <c r="J419">
        <v>2</v>
      </c>
      <c r="K419" t="s">
        <v>67</v>
      </c>
      <c r="L419">
        <v>193</v>
      </c>
      <c r="M419">
        <v>636968</v>
      </c>
      <c r="N419">
        <v>5</v>
      </c>
      <c r="O419">
        <v>4</v>
      </c>
      <c r="P419">
        <v>723</v>
      </c>
      <c r="Q419" t="str">
        <f t="shared" si="7"/>
        <v>23p31a0537@aect.dummy.in</v>
      </c>
    </row>
    <row r="420" spans="1:17" ht="14.4" x14ac:dyDescent="0.3">
      <c r="A420" t="s">
        <v>487</v>
      </c>
      <c r="B420" t="s">
        <v>220</v>
      </c>
      <c r="C420" t="s">
        <v>36</v>
      </c>
      <c r="D420">
        <v>5</v>
      </c>
      <c r="E420">
        <v>0</v>
      </c>
      <c r="F420">
        <v>2</v>
      </c>
      <c r="G420">
        <v>3</v>
      </c>
      <c r="H420">
        <v>0</v>
      </c>
      <c r="I420">
        <v>4</v>
      </c>
      <c r="J420">
        <v>0</v>
      </c>
      <c r="K420" t="s">
        <v>20</v>
      </c>
      <c r="L420">
        <v>9</v>
      </c>
      <c r="M420">
        <v>4658475</v>
      </c>
      <c r="N420">
        <v>0</v>
      </c>
      <c r="O420">
        <v>0</v>
      </c>
      <c r="P420">
        <v>220</v>
      </c>
      <c r="Q420" t="str">
        <f t="shared" si="7"/>
        <v>23p31a0538@aect.dummy.in</v>
      </c>
    </row>
    <row r="421" spans="1:17" ht="14.4" x14ac:dyDescent="0.3">
      <c r="A421" t="s">
        <v>488</v>
      </c>
      <c r="B421" t="s">
        <v>220</v>
      </c>
      <c r="C421" t="s">
        <v>36</v>
      </c>
      <c r="D421">
        <v>3</v>
      </c>
      <c r="E421">
        <v>0</v>
      </c>
      <c r="F421">
        <v>0</v>
      </c>
      <c r="G421">
        <v>0</v>
      </c>
      <c r="H421">
        <v>4</v>
      </c>
      <c r="I421">
        <v>2</v>
      </c>
      <c r="J421">
        <v>2</v>
      </c>
      <c r="K421" t="s">
        <v>67</v>
      </c>
      <c r="L421">
        <v>25</v>
      </c>
      <c r="M421">
        <v>2948218</v>
      </c>
      <c r="N421">
        <v>2</v>
      </c>
      <c r="O421">
        <v>0</v>
      </c>
      <c r="P421">
        <v>185</v>
      </c>
      <c r="Q421" t="str">
        <f t="shared" si="7"/>
        <v>23p31a0539@aect.dummy.in</v>
      </c>
    </row>
    <row r="422" spans="1:17" ht="14.4" x14ac:dyDescent="0.3">
      <c r="A422" t="s">
        <v>489</v>
      </c>
      <c r="B422" t="s">
        <v>220</v>
      </c>
      <c r="C422" t="s">
        <v>36</v>
      </c>
      <c r="D422">
        <v>3</v>
      </c>
      <c r="E422">
        <v>0</v>
      </c>
      <c r="F422">
        <v>1</v>
      </c>
      <c r="G422">
        <v>3</v>
      </c>
      <c r="H422">
        <v>3</v>
      </c>
      <c r="I422">
        <v>5</v>
      </c>
      <c r="J422">
        <v>1</v>
      </c>
      <c r="K422" t="s">
        <v>71</v>
      </c>
      <c r="L422">
        <v>40</v>
      </c>
      <c r="M422">
        <v>2271006</v>
      </c>
      <c r="N422">
        <v>0</v>
      </c>
      <c r="O422">
        <v>0</v>
      </c>
      <c r="P422">
        <v>70</v>
      </c>
      <c r="Q422" t="str">
        <f t="shared" si="7"/>
        <v>23p31a0540@aect.dummy.in</v>
      </c>
    </row>
    <row r="423" spans="1:17" ht="14.4" x14ac:dyDescent="0.3">
      <c r="A423" t="s">
        <v>490</v>
      </c>
      <c r="B423" t="s">
        <v>220</v>
      </c>
      <c r="C423" t="s">
        <v>36</v>
      </c>
      <c r="D423">
        <v>3</v>
      </c>
      <c r="E423">
        <v>2</v>
      </c>
      <c r="F423">
        <v>2</v>
      </c>
      <c r="G423">
        <v>1</v>
      </c>
      <c r="H423">
        <v>3</v>
      </c>
      <c r="I423">
        <v>6</v>
      </c>
      <c r="J423">
        <v>2</v>
      </c>
      <c r="K423" t="s">
        <v>67</v>
      </c>
      <c r="L423">
        <v>70</v>
      </c>
      <c r="M423">
        <v>1577272</v>
      </c>
      <c r="N423">
        <v>66</v>
      </c>
      <c r="O423">
        <v>112</v>
      </c>
      <c r="P423">
        <v>339</v>
      </c>
      <c r="Q423" t="str">
        <f t="shared" si="7"/>
        <v>23p31a0543@aect.dummy.in</v>
      </c>
    </row>
    <row r="424" spans="1:17" ht="14.4" x14ac:dyDescent="0.3">
      <c r="A424" t="s">
        <v>491</v>
      </c>
      <c r="B424" t="s">
        <v>220</v>
      </c>
      <c r="C424" t="s">
        <v>36</v>
      </c>
      <c r="D424">
        <v>3</v>
      </c>
      <c r="E424">
        <v>0</v>
      </c>
      <c r="F424">
        <v>0</v>
      </c>
      <c r="G424">
        <v>2</v>
      </c>
      <c r="H424">
        <v>5</v>
      </c>
      <c r="I424">
        <v>4</v>
      </c>
      <c r="J424">
        <v>3</v>
      </c>
      <c r="K424" t="s">
        <v>334</v>
      </c>
      <c r="L424">
        <v>65</v>
      </c>
      <c r="M424">
        <v>1660549</v>
      </c>
      <c r="N424">
        <v>0</v>
      </c>
      <c r="O424">
        <v>0</v>
      </c>
      <c r="P424">
        <v>251</v>
      </c>
      <c r="Q424" t="str">
        <f t="shared" si="7"/>
        <v>23p31a0544@aect.dummy.in</v>
      </c>
    </row>
    <row r="425" spans="1:17" ht="14.4" x14ac:dyDescent="0.3">
      <c r="A425" t="s">
        <v>492</v>
      </c>
      <c r="B425" t="s">
        <v>220</v>
      </c>
      <c r="C425" t="s">
        <v>36</v>
      </c>
      <c r="D425">
        <v>3</v>
      </c>
      <c r="E425">
        <v>0</v>
      </c>
      <c r="F425">
        <v>0</v>
      </c>
      <c r="G425">
        <v>0</v>
      </c>
      <c r="H425">
        <v>0</v>
      </c>
      <c r="I425">
        <v>1</v>
      </c>
      <c r="J425">
        <v>0</v>
      </c>
      <c r="K425" t="s">
        <v>20</v>
      </c>
      <c r="L425">
        <v>4</v>
      </c>
      <c r="M425">
        <v>5000001</v>
      </c>
      <c r="N425">
        <v>0</v>
      </c>
      <c r="O425">
        <v>0</v>
      </c>
      <c r="P425">
        <v>14</v>
      </c>
      <c r="Q425" t="str">
        <f t="shared" si="7"/>
        <v>23p31a0545@aect.dummy.in</v>
      </c>
    </row>
    <row r="426" spans="1:17" ht="14.4" x14ac:dyDescent="0.3">
      <c r="A426" t="s">
        <v>493</v>
      </c>
      <c r="B426" t="s">
        <v>220</v>
      </c>
      <c r="C426" t="s">
        <v>36</v>
      </c>
      <c r="D426">
        <v>3</v>
      </c>
      <c r="E426">
        <v>1</v>
      </c>
      <c r="F426">
        <v>2</v>
      </c>
      <c r="G426">
        <v>1</v>
      </c>
      <c r="H426">
        <v>3</v>
      </c>
      <c r="I426">
        <v>6</v>
      </c>
      <c r="J426">
        <v>1</v>
      </c>
      <c r="K426" t="s">
        <v>71</v>
      </c>
      <c r="L426">
        <v>79</v>
      </c>
      <c r="M426">
        <v>1444517</v>
      </c>
      <c r="N426">
        <v>33</v>
      </c>
      <c r="O426">
        <v>64</v>
      </c>
      <c r="P426">
        <v>133</v>
      </c>
      <c r="Q426" t="str">
        <f t="shared" si="7"/>
        <v>23p31a0547@aect.dummy.in</v>
      </c>
    </row>
    <row r="427" spans="1:17" ht="14.4" x14ac:dyDescent="0.3">
      <c r="A427" t="s">
        <v>494</v>
      </c>
      <c r="B427" t="s">
        <v>220</v>
      </c>
      <c r="C427" t="s">
        <v>36</v>
      </c>
      <c r="D427">
        <v>3</v>
      </c>
      <c r="E427">
        <v>2</v>
      </c>
      <c r="F427">
        <v>2</v>
      </c>
      <c r="G427">
        <v>0</v>
      </c>
      <c r="H427">
        <v>5</v>
      </c>
      <c r="I427">
        <v>5</v>
      </c>
      <c r="J427">
        <v>1</v>
      </c>
      <c r="K427" t="s">
        <v>71</v>
      </c>
      <c r="L427">
        <v>47</v>
      </c>
      <c r="M427">
        <v>2060648</v>
      </c>
      <c r="N427">
        <v>21</v>
      </c>
      <c r="O427">
        <v>48</v>
      </c>
      <c r="P427">
        <v>350</v>
      </c>
      <c r="Q427" t="str">
        <f t="shared" si="7"/>
        <v>23p31a0548@aect.dummy.in</v>
      </c>
    </row>
    <row r="428" spans="1:17" ht="14.4" x14ac:dyDescent="0.3">
      <c r="A428" t="s">
        <v>495</v>
      </c>
      <c r="B428" t="s">
        <v>220</v>
      </c>
      <c r="C428" t="s">
        <v>36</v>
      </c>
      <c r="D428">
        <v>4</v>
      </c>
      <c r="E428">
        <v>0</v>
      </c>
      <c r="F428">
        <v>0</v>
      </c>
      <c r="G428">
        <v>0</v>
      </c>
      <c r="H428">
        <v>5</v>
      </c>
      <c r="I428">
        <v>3</v>
      </c>
      <c r="J428">
        <v>1</v>
      </c>
      <c r="K428" t="s">
        <v>71</v>
      </c>
      <c r="L428">
        <v>42</v>
      </c>
      <c r="M428">
        <v>2207956</v>
      </c>
      <c r="N428">
        <v>1</v>
      </c>
      <c r="O428">
        <v>1</v>
      </c>
      <c r="P428">
        <v>235</v>
      </c>
      <c r="Q428" t="str">
        <f t="shared" si="7"/>
        <v>23p31a0549@aect.dummy.in</v>
      </c>
    </row>
    <row r="429" spans="1:17" ht="14.4" x14ac:dyDescent="0.3">
      <c r="A429" t="s">
        <v>496</v>
      </c>
      <c r="B429" t="s">
        <v>220</v>
      </c>
      <c r="C429" t="s">
        <v>36</v>
      </c>
      <c r="D429">
        <v>4</v>
      </c>
      <c r="E429">
        <v>3</v>
      </c>
      <c r="F429">
        <v>3</v>
      </c>
      <c r="G429">
        <v>3</v>
      </c>
      <c r="H429">
        <v>4</v>
      </c>
      <c r="I429">
        <v>6</v>
      </c>
      <c r="J429">
        <v>3</v>
      </c>
      <c r="K429" t="s">
        <v>145</v>
      </c>
      <c r="L429">
        <v>199</v>
      </c>
      <c r="M429">
        <v>615429</v>
      </c>
      <c r="N429">
        <v>108</v>
      </c>
      <c r="O429">
        <v>197</v>
      </c>
      <c r="P429">
        <v>595</v>
      </c>
      <c r="Q429" t="str">
        <f t="shared" si="7"/>
        <v>23p31a0552@aect.dummy.in</v>
      </c>
    </row>
    <row r="430" spans="1:17" ht="14.4" x14ac:dyDescent="0.3">
      <c r="A430" t="s">
        <v>497</v>
      </c>
      <c r="B430" t="s">
        <v>220</v>
      </c>
      <c r="C430" t="s">
        <v>36</v>
      </c>
      <c r="D430">
        <v>3</v>
      </c>
      <c r="E430">
        <v>0</v>
      </c>
      <c r="F430">
        <v>2</v>
      </c>
      <c r="G430">
        <v>2</v>
      </c>
      <c r="H430">
        <v>5</v>
      </c>
      <c r="I430">
        <v>5</v>
      </c>
      <c r="J430">
        <v>2</v>
      </c>
      <c r="K430" t="s">
        <v>67</v>
      </c>
      <c r="L430">
        <v>49</v>
      </c>
      <c r="M430">
        <v>2010069</v>
      </c>
      <c r="N430">
        <v>0</v>
      </c>
      <c r="O430">
        <v>0</v>
      </c>
      <c r="P430">
        <v>534</v>
      </c>
      <c r="Q430" t="str">
        <f t="shared" si="7"/>
        <v>23p31a0556@aect.dummy.in</v>
      </c>
    </row>
    <row r="431" spans="1:17" ht="14.4" x14ac:dyDescent="0.3">
      <c r="A431" t="s">
        <v>498</v>
      </c>
      <c r="B431" t="s">
        <v>220</v>
      </c>
      <c r="C431" t="s">
        <v>36</v>
      </c>
      <c r="D431">
        <v>3</v>
      </c>
      <c r="E431">
        <v>0</v>
      </c>
      <c r="F431">
        <v>0</v>
      </c>
      <c r="G431">
        <v>0</v>
      </c>
      <c r="H431">
        <v>0</v>
      </c>
      <c r="I431">
        <v>1</v>
      </c>
      <c r="J431">
        <v>0</v>
      </c>
      <c r="K431" t="s">
        <v>20</v>
      </c>
      <c r="L431">
        <v>7</v>
      </c>
      <c r="M431">
        <v>5000001</v>
      </c>
      <c r="N431">
        <v>0</v>
      </c>
      <c r="O431">
        <v>0</v>
      </c>
      <c r="P431">
        <v>3</v>
      </c>
      <c r="Q431" t="str">
        <f t="shared" si="7"/>
        <v>23p31a0557@aect.dummy.in</v>
      </c>
    </row>
    <row r="432" spans="1:17" ht="14.4" x14ac:dyDescent="0.3">
      <c r="A432" t="s">
        <v>499</v>
      </c>
      <c r="B432" t="s">
        <v>220</v>
      </c>
      <c r="C432" t="s">
        <v>36</v>
      </c>
      <c r="D432">
        <v>3</v>
      </c>
      <c r="E432">
        <v>0</v>
      </c>
      <c r="F432">
        <v>0</v>
      </c>
      <c r="G432">
        <v>1</v>
      </c>
      <c r="H432">
        <v>5</v>
      </c>
      <c r="I432">
        <v>3</v>
      </c>
      <c r="J432">
        <v>2</v>
      </c>
      <c r="K432" t="s">
        <v>67</v>
      </c>
      <c r="L432">
        <v>44</v>
      </c>
      <c r="M432">
        <v>2147103</v>
      </c>
      <c r="N432">
        <v>2</v>
      </c>
      <c r="O432">
        <v>3</v>
      </c>
      <c r="P432">
        <v>323</v>
      </c>
      <c r="Q432" t="str">
        <f t="shared" si="7"/>
        <v>23p31a0560@aect.dummy.in</v>
      </c>
    </row>
    <row r="433" spans="1:17" ht="14.4" x14ac:dyDescent="0.3">
      <c r="A433" t="s">
        <v>500</v>
      </c>
      <c r="B433" t="s">
        <v>220</v>
      </c>
      <c r="C433" t="s">
        <v>36</v>
      </c>
      <c r="D433">
        <v>2</v>
      </c>
      <c r="E433">
        <v>0</v>
      </c>
      <c r="F433">
        <v>2</v>
      </c>
      <c r="G433">
        <v>0</v>
      </c>
      <c r="H433">
        <v>0</v>
      </c>
      <c r="I433">
        <v>3</v>
      </c>
      <c r="J433">
        <v>0</v>
      </c>
      <c r="K433" t="s">
        <v>20</v>
      </c>
      <c r="L433">
        <v>26</v>
      </c>
      <c r="M433">
        <v>2884748</v>
      </c>
      <c r="N433">
        <v>1</v>
      </c>
      <c r="O433">
        <v>2</v>
      </c>
      <c r="P433">
        <v>125</v>
      </c>
      <c r="Q433" t="str">
        <f t="shared" si="7"/>
        <v>23p31a0561@aect.dummy.in</v>
      </c>
    </row>
    <row r="434" spans="1:17" ht="14.4" x14ac:dyDescent="0.3">
      <c r="A434" t="s">
        <v>501</v>
      </c>
      <c r="B434" t="s">
        <v>220</v>
      </c>
      <c r="C434" t="s">
        <v>36</v>
      </c>
      <c r="D434">
        <v>4</v>
      </c>
      <c r="E434">
        <v>0</v>
      </c>
      <c r="F434">
        <v>0</v>
      </c>
      <c r="G434">
        <v>0</v>
      </c>
      <c r="H434">
        <v>1</v>
      </c>
      <c r="I434">
        <v>2</v>
      </c>
      <c r="J434">
        <v>2</v>
      </c>
      <c r="K434" t="s">
        <v>67</v>
      </c>
      <c r="L434">
        <v>26</v>
      </c>
      <c r="M434">
        <v>2884093</v>
      </c>
      <c r="N434">
        <v>0</v>
      </c>
      <c r="O434">
        <v>0</v>
      </c>
      <c r="P434">
        <v>86</v>
      </c>
      <c r="Q434" t="str">
        <f t="shared" si="7"/>
        <v>23p31a0562@aect.dummy.in</v>
      </c>
    </row>
    <row r="435" spans="1:17" ht="14.4" x14ac:dyDescent="0.3">
      <c r="A435" t="s">
        <v>502</v>
      </c>
      <c r="B435" t="s">
        <v>220</v>
      </c>
      <c r="C435" t="s">
        <v>133</v>
      </c>
      <c r="D435">
        <v>3</v>
      </c>
      <c r="E435">
        <v>0</v>
      </c>
      <c r="F435">
        <v>0</v>
      </c>
      <c r="G435">
        <v>0</v>
      </c>
      <c r="H435">
        <v>5</v>
      </c>
      <c r="I435">
        <v>3</v>
      </c>
      <c r="J435">
        <v>2</v>
      </c>
      <c r="K435" t="s">
        <v>67</v>
      </c>
      <c r="L435">
        <v>34</v>
      </c>
      <c r="M435">
        <v>2496163</v>
      </c>
      <c r="N435">
        <v>1</v>
      </c>
      <c r="O435">
        <v>4</v>
      </c>
      <c r="P435">
        <v>377</v>
      </c>
      <c r="Q435" t="str">
        <f t="shared" si="7"/>
        <v>23p31a0563@aect.dummy.in</v>
      </c>
    </row>
    <row r="436" spans="1:17" ht="14.4" x14ac:dyDescent="0.3">
      <c r="A436" t="s">
        <v>503</v>
      </c>
      <c r="B436" t="s">
        <v>220</v>
      </c>
      <c r="C436" t="s">
        <v>143</v>
      </c>
      <c r="D436">
        <v>4</v>
      </c>
      <c r="E436">
        <v>0</v>
      </c>
      <c r="F436">
        <v>3</v>
      </c>
      <c r="G436">
        <v>3</v>
      </c>
      <c r="H436">
        <v>4</v>
      </c>
      <c r="I436">
        <v>4</v>
      </c>
      <c r="J436">
        <v>1</v>
      </c>
      <c r="K436" t="s">
        <v>71</v>
      </c>
      <c r="L436">
        <v>40</v>
      </c>
      <c r="M436">
        <v>2274419</v>
      </c>
      <c r="N436">
        <v>3</v>
      </c>
      <c r="O436">
        <v>5</v>
      </c>
      <c r="P436">
        <v>610</v>
      </c>
      <c r="Q436" t="str">
        <f t="shared" si="7"/>
        <v>23p31a0564@aect.dummy.in</v>
      </c>
    </row>
    <row r="437" spans="1:17" ht="14.4" x14ac:dyDescent="0.3">
      <c r="A437" t="s">
        <v>504</v>
      </c>
      <c r="B437" t="s">
        <v>220</v>
      </c>
      <c r="C437" t="s">
        <v>143</v>
      </c>
      <c r="D437">
        <v>4</v>
      </c>
      <c r="E437">
        <v>1</v>
      </c>
      <c r="F437">
        <v>3</v>
      </c>
      <c r="G437">
        <v>1</v>
      </c>
      <c r="H437">
        <v>4</v>
      </c>
      <c r="I437">
        <v>6</v>
      </c>
      <c r="J437">
        <v>2</v>
      </c>
      <c r="K437" t="s">
        <v>505</v>
      </c>
      <c r="L437">
        <v>129</v>
      </c>
      <c r="M437">
        <v>965943</v>
      </c>
      <c r="N437">
        <v>161</v>
      </c>
      <c r="O437">
        <v>249</v>
      </c>
      <c r="P437">
        <v>748</v>
      </c>
      <c r="Q437" t="str">
        <f t="shared" si="7"/>
        <v>23p31a0565@aect.dummy.in</v>
      </c>
    </row>
    <row r="438" spans="1:17" ht="14.4" x14ac:dyDescent="0.3">
      <c r="A438" t="s">
        <v>506</v>
      </c>
      <c r="B438" t="s">
        <v>220</v>
      </c>
      <c r="C438" t="s">
        <v>143</v>
      </c>
      <c r="D438">
        <v>0</v>
      </c>
      <c r="E438">
        <v>0</v>
      </c>
      <c r="F438">
        <v>0</v>
      </c>
      <c r="G438">
        <v>0</v>
      </c>
      <c r="H438">
        <v>0</v>
      </c>
      <c r="I438">
        <v>0</v>
      </c>
      <c r="J438">
        <v>0</v>
      </c>
      <c r="K438" t="s">
        <v>20</v>
      </c>
      <c r="L438">
        <v>0</v>
      </c>
      <c r="M438">
        <v>5000001</v>
      </c>
      <c r="N438">
        <v>0</v>
      </c>
      <c r="O438">
        <v>0</v>
      </c>
      <c r="P438">
        <v>0</v>
      </c>
      <c r="Q438" t="str">
        <f t="shared" si="7"/>
        <v>23p31a0567@aect.dummy.in</v>
      </c>
    </row>
    <row r="439" spans="1:17" ht="14.4" x14ac:dyDescent="0.3">
      <c r="A439" t="s">
        <v>507</v>
      </c>
      <c r="B439" t="s">
        <v>220</v>
      </c>
      <c r="C439" t="s">
        <v>143</v>
      </c>
      <c r="D439">
        <v>3</v>
      </c>
      <c r="E439">
        <v>0</v>
      </c>
      <c r="F439">
        <v>3</v>
      </c>
      <c r="G439">
        <v>3</v>
      </c>
      <c r="H439">
        <v>0</v>
      </c>
      <c r="I439">
        <v>3</v>
      </c>
      <c r="J439">
        <v>2</v>
      </c>
      <c r="K439" t="s">
        <v>106</v>
      </c>
      <c r="L439">
        <v>1</v>
      </c>
      <c r="M439">
        <v>5000001</v>
      </c>
      <c r="N439">
        <v>0</v>
      </c>
      <c r="O439">
        <v>0</v>
      </c>
      <c r="P439">
        <v>10</v>
      </c>
      <c r="Q439" t="str">
        <f t="shared" si="7"/>
        <v>23p31a0568@aect.dummy.in</v>
      </c>
    </row>
    <row r="440" spans="1:17" ht="14.4" x14ac:dyDescent="0.3">
      <c r="A440" t="s">
        <v>508</v>
      </c>
      <c r="B440" t="s">
        <v>220</v>
      </c>
      <c r="C440" t="s">
        <v>143</v>
      </c>
      <c r="D440">
        <v>3</v>
      </c>
      <c r="E440">
        <v>0</v>
      </c>
      <c r="F440">
        <v>0</v>
      </c>
      <c r="G440">
        <v>0</v>
      </c>
      <c r="H440">
        <v>2</v>
      </c>
      <c r="I440">
        <v>2</v>
      </c>
      <c r="J440">
        <v>1</v>
      </c>
      <c r="K440" t="s">
        <v>71</v>
      </c>
      <c r="L440">
        <v>5</v>
      </c>
      <c r="M440">
        <v>5000001</v>
      </c>
      <c r="N440">
        <v>0</v>
      </c>
      <c r="O440">
        <v>0</v>
      </c>
      <c r="P440">
        <v>100</v>
      </c>
      <c r="Q440" t="str">
        <f t="shared" si="7"/>
        <v>23p31a0569@aect.dummy.in</v>
      </c>
    </row>
    <row r="441" spans="1:17" ht="14.4" x14ac:dyDescent="0.3">
      <c r="A441" t="s">
        <v>509</v>
      </c>
      <c r="B441" t="s">
        <v>220</v>
      </c>
      <c r="C441" t="s">
        <v>143</v>
      </c>
      <c r="D441">
        <v>4</v>
      </c>
      <c r="E441">
        <v>0</v>
      </c>
      <c r="F441">
        <v>0</v>
      </c>
      <c r="G441">
        <v>0</v>
      </c>
      <c r="H441">
        <v>4</v>
      </c>
      <c r="I441">
        <v>2</v>
      </c>
      <c r="J441">
        <v>1</v>
      </c>
      <c r="K441" t="s">
        <v>71</v>
      </c>
      <c r="L441">
        <v>6</v>
      </c>
      <c r="M441">
        <v>5000001</v>
      </c>
      <c r="N441">
        <v>0</v>
      </c>
      <c r="O441">
        <v>0</v>
      </c>
      <c r="P441">
        <v>408</v>
      </c>
      <c r="Q441" t="str">
        <f t="shared" si="7"/>
        <v>23p31a0575@aect.dummy.in</v>
      </c>
    </row>
    <row r="442" spans="1:17" ht="14.4" x14ac:dyDescent="0.3">
      <c r="A442" t="s">
        <v>510</v>
      </c>
      <c r="B442" t="s">
        <v>220</v>
      </c>
      <c r="C442" t="s">
        <v>143</v>
      </c>
      <c r="D442">
        <v>3</v>
      </c>
      <c r="E442">
        <v>1</v>
      </c>
      <c r="F442">
        <v>1</v>
      </c>
      <c r="G442">
        <v>0</v>
      </c>
      <c r="H442">
        <v>0</v>
      </c>
      <c r="I442">
        <v>3</v>
      </c>
      <c r="J442">
        <v>1</v>
      </c>
      <c r="K442" t="s">
        <v>289</v>
      </c>
      <c r="L442">
        <v>83</v>
      </c>
      <c r="M442">
        <v>1392494</v>
      </c>
      <c r="N442">
        <v>4</v>
      </c>
      <c r="O442">
        <v>8</v>
      </c>
      <c r="P442">
        <v>48</v>
      </c>
      <c r="Q442" t="str">
        <f t="shared" ref="Q442:Q505" si="8">LOWER(A442) &amp;"@aect.dummy.in"</f>
        <v>23p31a0577@aect.dummy.in</v>
      </c>
    </row>
    <row r="443" spans="1:17" ht="14.4" x14ac:dyDescent="0.3">
      <c r="A443" t="s">
        <v>511</v>
      </c>
      <c r="B443" t="s">
        <v>220</v>
      </c>
      <c r="C443" t="s">
        <v>143</v>
      </c>
      <c r="D443">
        <v>1</v>
      </c>
      <c r="E443">
        <v>0</v>
      </c>
      <c r="F443">
        <v>0</v>
      </c>
      <c r="G443">
        <v>0</v>
      </c>
      <c r="H443">
        <v>0</v>
      </c>
      <c r="I443">
        <v>1</v>
      </c>
      <c r="J443">
        <v>0</v>
      </c>
      <c r="K443" t="s">
        <v>20</v>
      </c>
      <c r="L443">
        <v>23</v>
      </c>
      <c r="M443">
        <v>3076439</v>
      </c>
      <c r="N443">
        <v>0</v>
      </c>
      <c r="O443">
        <v>0</v>
      </c>
      <c r="P443">
        <v>2</v>
      </c>
      <c r="Q443" t="str">
        <f t="shared" si="8"/>
        <v>23p31a0578@aect.dummy.in</v>
      </c>
    </row>
    <row r="444" spans="1:17" ht="14.4" x14ac:dyDescent="0.3">
      <c r="A444" t="s">
        <v>512</v>
      </c>
      <c r="B444" t="s">
        <v>220</v>
      </c>
      <c r="C444" t="s">
        <v>143</v>
      </c>
      <c r="D444">
        <v>3</v>
      </c>
      <c r="E444">
        <v>1</v>
      </c>
      <c r="F444">
        <v>0</v>
      </c>
      <c r="G444">
        <v>2</v>
      </c>
      <c r="H444">
        <v>4</v>
      </c>
      <c r="I444">
        <v>5</v>
      </c>
      <c r="J444">
        <v>3</v>
      </c>
      <c r="K444" t="s">
        <v>124</v>
      </c>
      <c r="L444">
        <v>40</v>
      </c>
      <c r="M444">
        <v>2273364</v>
      </c>
      <c r="N444">
        <v>6</v>
      </c>
      <c r="O444">
        <v>12</v>
      </c>
      <c r="P444">
        <v>116</v>
      </c>
      <c r="Q444" t="str">
        <f t="shared" si="8"/>
        <v>23p31a0581@aect.dummy.in</v>
      </c>
    </row>
    <row r="445" spans="1:17" ht="14.4" x14ac:dyDescent="0.3">
      <c r="A445" t="s">
        <v>513</v>
      </c>
      <c r="B445" t="s">
        <v>220</v>
      </c>
      <c r="C445" t="s">
        <v>143</v>
      </c>
      <c r="D445">
        <v>5</v>
      </c>
      <c r="E445">
        <v>5</v>
      </c>
      <c r="F445">
        <v>5</v>
      </c>
      <c r="G445">
        <v>5</v>
      </c>
      <c r="H445">
        <v>0</v>
      </c>
      <c r="I445">
        <v>5</v>
      </c>
      <c r="J445">
        <v>0</v>
      </c>
      <c r="K445" t="s">
        <v>20</v>
      </c>
      <c r="L445">
        <v>1</v>
      </c>
      <c r="M445">
        <v>5000001</v>
      </c>
      <c r="N445">
        <v>2</v>
      </c>
      <c r="O445">
        <v>10</v>
      </c>
      <c r="P445">
        <v>26</v>
      </c>
      <c r="Q445" t="str">
        <f t="shared" si="8"/>
        <v>23p31a0582@aect.dummy.in</v>
      </c>
    </row>
    <row r="446" spans="1:17" ht="14.4" x14ac:dyDescent="0.3">
      <c r="A446" t="s">
        <v>514</v>
      </c>
      <c r="B446" t="s">
        <v>515</v>
      </c>
      <c r="C446" t="s">
        <v>19</v>
      </c>
      <c r="D446">
        <v>3</v>
      </c>
      <c r="E446">
        <v>0</v>
      </c>
      <c r="F446">
        <v>0</v>
      </c>
      <c r="G446">
        <v>0</v>
      </c>
      <c r="H446">
        <v>1</v>
      </c>
      <c r="I446">
        <v>3</v>
      </c>
      <c r="J446">
        <v>1</v>
      </c>
      <c r="K446" t="s">
        <v>71</v>
      </c>
      <c r="L446">
        <v>24</v>
      </c>
      <c r="M446">
        <v>3005665</v>
      </c>
      <c r="N446">
        <v>2</v>
      </c>
      <c r="O446">
        <v>4</v>
      </c>
      <c r="P446">
        <v>3</v>
      </c>
      <c r="Q446" t="str">
        <f t="shared" si="8"/>
        <v>23p31a0583@aect.dummy.in</v>
      </c>
    </row>
    <row r="447" spans="1:17" ht="14.4" x14ac:dyDescent="0.3">
      <c r="A447" t="s">
        <v>516</v>
      </c>
      <c r="B447" t="s">
        <v>515</v>
      </c>
      <c r="C447" t="s">
        <v>19</v>
      </c>
      <c r="D447">
        <v>3</v>
      </c>
      <c r="E447">
        <v>0</v>
      </c>
      <c r="F447">
        <v>2</v>
      </c>
      <c r="G447">
        <v>2</v>
      </c>
      <c r="H447">
        <v>4</v>
      </c>
      <c r="I447">
        <v>5</v>
      </c>
      <c r="J447">
        <v>1</v>
      </c>
      <c r="K447" t="s">
        <v>71</v>
      </c>
      <c r="L447">
        <v>29</v>
      </c>
      <c r="M447">
        <v>2725132</v>
      </c>
      <c r="N447">
        <v>0</v>
      </c>
      <c r="O447">
        <v>0</v>
      </c>
      <c r="P447">
        <v>488</v>
      </c>
      <c r="Q447" t="str">
        <f t="shared" si="8"/>
        <v>23p31a0584@aect.dummy.in</v>
      </c>
    </row>
    <row r="448" spans="1:17" ht="14.4" x14ac:dyDescent="0.3">
      <c r="A448" t="s">
        <v>517</v>
      </c>
      <c r="B448" t="s">
        <v>515</v>
      </c>
      <c r="C448" t="s">
        <v>19</v>
      </c>
      <c r="D448">
        <v>4</v>
      </c>
      <c r="E448">
        <v>0</v>
      </c>
      <c r="F448">
        <v>1</v>
      </c>
      <c r="G448">
        <v>2</v>
      </c>
      <c r="H448">
        <v>2</v>
      </c>
      <c r="I448">
        <v>5</v>
      </c>
      <c r="J448">
        <v>4</v>
      </c>
      <c r="K448" t="s">
        <v>518</v>
      </c>
      <c r="L448">
        <v>126</v>
      </c>
      <c r="M448">
        <v>986949</v>
      </c>
      <c r="N448">
        <v>5</v>
      </c>
      <c r="O448">
        <v>14</v>
      </c>
      <c r="P448">
        <v>137</v>
      </c>
      <c r="Q448" t="str">
        <f t="shared" si="8"/>
        <v>23p31a0586@aect.dummy.in</v>
      </c>
    </row>
    <row r="449" spans="1:17" ht="14.4" x14ac:dyDescent="0.3">
      <c r="A449" t="s">
        <v>519</v>
      </c>
      <c r="B449" t="s">
        <v>515</v>
      </c>
      <c r="C449" t="s">
        <v>19</v>
      </c>
      <c r="D449">
        <v>0</v>
      </c>
      <c r="E449">
        <v>0</v>
      </c>
      <c r="F449">
        <v>0</v>
      </c>
      <c r="G449">
        <v>1</v>
      </c>
      <c r="H449">
        <v>1</v>
      </c>
      <c r="I449">
        <v>2</v>
      </c>
      <c r="J449">
        <v>1</v>
      </c>
      <c r="K449" t="s">
        <v>71</v>
      </c>
      <c r="L449">
        <v>4</v>
      </c>
      <c r="M449">
        <v>5000001</v>
      </c>
      <c r="N449">
        <v>0</v>
      </c>
      <c r="O449">
        <v>0</v>
      </c>
      <c r="P449">
        <v>0</v>
      </c>
      <c r="Q449" t="str">
        <f t="shared" si="8"/>
        <v>23p31a0587@aect.dummy.in</v>
      </c>
    </row>
    <row r="450" spans="1:17" ht="14.4" x14ac:dyDescent="0.3">
      <c r="A450" t="s">
        <v>520</v>
      </c>
      <c r="B450" t="s">
        <v>515</v>
      </c>
      <c r="C450" t="s">
        <v>19</v>
      </c>
      <c r="D450">
        <v>3</v>
      </c>
      <c r="E450">
        <v>0</v>
      </c>
      <c r="F450">
        <v>0</v>
      </c>
      <c r="G450">
        <v>0</v>
      </c>
      <c r="H450">
        <v>1</v>
      </c>
      <c r="I450">
        <v>3</v>
      </c>
      <c r="J450">
        <v>0</v>
      </c>
      <c r="K450" t="s">
        <v>20</v>
      </c>
      <c r="L450">
        <v>37</v>
      </c>
      <c r="M450">
        <v>2378302</v>
      </c>
      <c r="N450">
        <v>77</v>
      </c>
      <c r="O450">
        <v>160</v>
      </c>
      <c r="P450">
        <v>92</v>
      </c>
      <c r="Q450" t="str">
        <f t="shared" si="8"/>
        <v>23p31a0588@aect.dummy.in</v>
      </c>
    </row>
    <row r="451" spans="1:17" ht="14.4" x14ac:dyDescent="0.3">
      <c r="A451" t="s">
        <v>521</v>
      </c>
      <c r="B451" t="s">
        <v>515</v>
      </c>
      <c r="C451" t="s">
        <v>19</v>
      </c>
      <c r="D451">
        <v>3</v>
      </c>
      <c r="E451">
        <v>0</v>
      </c>
      <c r="F451">
        <v>0</v>
      </c>
      <c r="G451">
        <v>0</v>
      </c>
      <c r="H451">
        <v>0</v>
      </c>
      <c r="I451">
        <v>1</v>
      </c>
      <c r="J451">
        <v>0</v>
      </c>
      <c r="K451" t="s">
        <v>20</v>
      </c>
      <c r="L451">
        <v>207</v>
      </c>
      <c r="M451">
        <v>590058</v>
      </c>
      <c r="N451">
        <v>79</v>
      </c>
      <c r="O451">
        <v>235</v>
      </c>
      <c r="P451">
        <v>3</v>
      </c>
      <c r="Q451" t="str">
        <f t="shared" si="8"/>
        <v>23p31a0597@aect.dummy.in</v>
      </c>
    </row>
    <row r="452" spans="1:17" ht="14.4" x14ac:dyDescent="0.3">
      <c r="A452" t="s">
        <v>522</v>
      </c>
      <c r="B452" t="s">
        <v>515</v>
      </c>
      <c r="C452" t="s">
        <v>19</v>
      </c>
      <c r="D452">
        <v>4</v>
      </c>
      <c r="E452">
        <v>0</v>
      </c>
      <c r="F452">
        <v>0</v>
      </c>
      <c r="G452">
        <v>0</v>
      </c>
      <c r="H452">
        <v>3</v>
      </c>
      <c r="I452">
        <v>3</v>
      </c>
      <c r="J452">
        <v>0</v>
      </c>
      <c r="K452" t="s">
        <v>20</v>
      </c>
      <c r="L452">
        <v>1</v>
      </c>
      <c r="M452">
        <v>5000001</v>
      </c>
      <c r="N452">
        <v>0</v>
      </c>
      <c r="O452">
        <v>0</v>
      </c>
      <c r="P452">
        <v>3</v>
      </c>
      <c r="Q452" t="str">
        <f t="shared" si="8"/>
        <v>23p31a0599@aect.dummy.in</v>
      </c>
    </row>
    <row r="453" spans="1:17" ht="14.4" x14ac:dyDescent="0.3">
      <c r="A453" t="s">
        <v>523</v>
      </c>
      <c r="B453" t="s">
        <v>515</v>
      </c>
      <c r="C453" t="s">
        <v>19</v>
      </c>
      <c r="D453">
        <v>0</v>
      </c>
      <c r="E453">
        <v>0</v>
      </c>
      <c r="F453">
        <v>1</v>
      </c>
      <c r="G453">
        <v>1</v>
      </c>
      <c r="H453">
        <v>0</v>
      </c>
      <c r="I453">
        <v>2</v>
      </c>
      <c r="J453">
        <v>0</v>
      </c>
      <c r="K453" t="s">
        <v>20</v>
      </c>
      <c r="L453">
        <v>0</v>
      </c>
      <c r="M453">
        <v>5000001</v>
      </c>
      <c r="N453">
        <v>1</v>
      </c>
      <c r="O453">
        <v>1</v>
      </c>
      <c r="P453">
        <v>43</v>
      </c>
      <c r="Q453" t="str">
        <f t="shared" si="8"/>
        <v>23p31a05a9@aect.dummy.in</v>
      </c>
    </row>
    <row r="454" spans="1:17" ht="14.4" x14ac:dyDescent="0.3">
      <c r="A454" t="s">
        <v>524</v>
      </c>
      <c r="B454" t="s">
        <v>515</v>
      </c>
      <c r="C454" t="s">
        <v>19</v>
      </c>
      <c r="D454">
        <v>1</v>
      </c>
      <c r="E454">
        <v>0</v>
      </c>
      <c r="F454">
        <v>3</v>
      </c>
      <c r="G454">
        <v>3</v>
      </c>
      <c r="H454">
        <v>3</v>
      </c>
      <c r="I454">
        <v>4</v>
      </c>
      <c r="J454">
        <v>0</v>
      </c>
      <c r="K454" t="s">
        <v>20</v>
      </c>
      <c r="L454">
        <v>81</v>
      </c>
      <c r="M454">
        <v>1417980</v>
      </c>
      <c r="N454">
        <v>27</v>
      </c>
      <c r="O454">
        <v>32</v>
      </c>
      <c r="P454">
        <v>114</v>
      </c>
      <c r="Q454" t="str">
        <f t="shared" si="8"/>
        <v>23p31a05c0@aect.dummy.in</v>
      </c>
    </row>
    <row r="455" spans="1:17" ht="14.4" x14ac:dyDescent="0.3">
      <c r="A455" t="s">
        <v>525</v>
      </c>
      <c r="B455" t="s">
        <v>515</v>
      </c>
      <c r="C455" t="s">
        <v>19</v>
      </c>
      <c r="D455">
        <v>3</v>
      </c>
      <c r="E455">
        <v>0</v>
      </c>
      <c r="F455">
        <v>0</v>
      </c>
      <c r="G455">
        <v>0</v>
      </c>
      <c r="H455">
        <v>0</v>
      </c>
      <c r="I455">
        <v>1</v>
      </c>
      <c r="J455">
        <v>0</v>
      </c>
      <c r="K455" t="s">
        <v>20</v>
      </c>
      <c r="L455">
        <v>0</v>
      </c>
      <c r="M455">
        <v>5000001</v>
      </c>
      <c r="N455">
        <v>0</v>
      </c>
      <c r="O455">
        <v>0</v>
      </c>
      <c r="P455">
        <v>0</v>
      </c>
      <c r="Q455" t="str">
        <f t="shared" si="8"/>
        <v>23p31a05d3@aect.dummy.in</v>
      </c>
    </row>
    <row r="456" spans="1:17" ht="14.4" x14ac:dyDescent="0.3">
      <c r="A456" t="s">
        <v>526</v>
      </c>
      <c r="B456" t="s">
        <v>515</v>
      </c>
      <c r="C456" t="s">
        <v>19</v>
      </c>
      <c r="D456">
        <v>1</v>
      </c>
      <c r="E456">
        <v>0</v>
      </c>
      <c r="F456">
        <v>0</v>
      </c>
      <c r="G456">
        <v>1</v>
      </c>
      <c r="H456">
        <v>0</v>
      </c>
      <c r="I456">
        <v>2</v>
      </c>
      <c r="J456">
        <v>0</v>
      </c>
      <c r="K456" t="s">
        <v>20</v>
      </c>
      <c r="L456">
        <v>20</v>
      </c>
      <c r="M456">
        <v>3303932</v>
      </c>
      <c r="N456">
        <v>4</v>
      </c>
      <c r="O456">
        <v>8</v>
      </c>
      <c r="P456">
        <v>2</v>
      </c>
      <c r="Q456" t="str">
        <f t="shared" si="8"/>
        <v>23p31a05d6@aect.dummy.in</v>
      </c>
    </row>
    <row r="457" spans="1:17" ht="14.4" x14ac:dyDescent="0.3">
      <c r="A457" t="s">
        <v>527</v>
      </c>
      <c r="B457" t="s">
        <v>515</v>
      </c>
      <c r="C457" t="s">
        <v>19</v>
      </c>
      <c r="D457">
        <v>2</v>
      </c>
      <c r="E457">
        <v>0</v>
      </c>
      <c r="F457">
        <v>0</v>
      </c>
      <c r="G457">
        <v>0</v>
      </c>
      <c r="H457">
        <v>5</v>
      </c>
      <c r="I457">
        <v>2</v>
      </c>
      <c r="J457">
        <v>2</v>
      </c>
      <c r="K457" t="s">
        <v>67</v>
      </c>
      <c r="L457">
        <v>14</v>
      </c>
      <c r="M457">
        <v>3903102</v>
      </c>
      <c r="N457">
        <v>4</v>
      </c>
      <c r="O457">
        <v>16</v>
      </c>
      <c r="P457">
        <v>5</v>
      </c>
      <c r="Q457" t="str">
        <f t="shared" si="8"/>
        <v>23p31a05d7@aect.dummy.in</v>
      </c>
    </row>
    <row r="458" spans="1:17" ht="14.4" x14ac:dyDescent="0.3">
      <c r="A458" t="s">
        <v>528</v>
      </c>
      <c r="B458" t="s">
        <v>515</v>
      </c>
      <c r="C458" t="s">
        <v>19</v>
      </c>
      <c r="D458">
        <v>0</v>
      </c>
      <c r="E458">
        <v>0</v>
      </c>
      <c r="F458">
        <v>3</v>
      </c>
      <c r="G458">
        <v>0</v>
      </c>
      <c r="H458">
        <v>0</v>
      </c>
      <c r="I458">
        <v>1</v>
      </c>
      <c r="J458">
        <v>0</v>
      </c>
      <c r="K458" t="s">
        <v>20</v>
      </c>
      <c r="L458">
        <v>0</v>
      </c>
      <c r="M458">
        <v>5000001</v>
      </c>
      <c r="N458">
        <v>0</v>
      </c>
      <c r="O458">
        <v>0</v>
      </c>
      <c r="P458">
        <v>0</v>
      </c>
      <c r="Q458" t="str">
        <f t="shared" si="8"/>
        <v>23p31a05e4@aect.dummy.in</v>
      </c>
    </row>
    <row r="459" spans="1:17" ht="14.4" x14ac:dyDescent="0.3">
      <c r="A459" t="s">
        <v>529</v>
      </c>
      <c r="B459" t="s">
        <v>515</v>
      </c>
      <c r="C459" t="s">
        <v>19</v>
      </c>
      <c r="D459">
        <v>0</v>
      </c>
      <c r="E459">
        <v>0</v>
      </c>
      <c r="F459">
        <v>0</v>
      </c>
      <c r="G459">
        <v>0</v>
      </c>
      <c r="H459">
        <v>0</v>
      </c>
      <c r="I459">
        <v>0</v>
      </c>
      <c r="J459">
        <v>0</v>
      </c>
      <c r="K459" t="s">
        <v>20</v>
      </c>
      <c r="L459">
        <v>16</v>
      </c>
      <c r="M459">
        <v>3673514</v>
      </c>
      <c r="N459">
        <v>0</v>
      </c>
      <c r="O459">
        <v>0</v>
      </c>
      <c r="P459">
        <v>66</v>
      </c>
      <c r="Q459" t="str">
        <f t="shared" si="8"/>
        <v>23p31a05e5@aect.dummy.in</v>
      </c>
    </row>
    <row r="460" spans="1:17" ht="14.4" x14ac:dyDescent="0.3">
      <c r="A460" t="s">
        <v>530</v>
      </c>
      <c r="B460" t="s">
        <v>515</v>
      </c>
      <c r="C460" t="s">
        <v>19</v>
      </c>
      <c r="D460">
        <v>0</v>
      </c>
      <c r="E460">
        <v>0</v>
      </c>
      <c r="F460">
        <v>1</v>
      </c>
      <c r="G460">
        <v>1</v>
      </c>
      <c r="H460">
        <v>0</v>
      </c>
      <c r="I460">
        <v>2</v>
      </c>
      <c r="J460">
        <v>0</v>
      </c>
      <c r="K460" t="s">
        <v>20</v>
      </c>
      <c r="L460">
        <v>32</v>
      </c>
      <c r="M460">
        <v>2585186</v>
      </c>
      <c r="N460">
        <v>0</v>
      </c>
      <c r="O460">
        <v>0</v>
      </c>
      <c r="P460">
        <v>56</v>
      </c>
      <c r="Q460" t="str">
        <f t="shared" si="8"/>
        <v>23p31a05f2@aect.dummy.in</v>
      </c>
    </row>
    <row r="461" spans="1:17" ht="14.4" x14ac:dyDescent="0.3">
      <c r="A461" t="s">
        <v>531</v>
      </c>
      <c r="B461" t="s">
        <v>515</v>
      </c>
      <c r="C461" t="s">
        <v>19</v>
      </c>
      <c r="D461">
        <v>2</v>
      </c>
      <c r="E461">
        <v>0</v>
      </c>
      <c r="F461">
        <v>3</v>
      </c>
      <c r="G461">
        <v>0</v>
      </c>
      <c r="H461">
        <v>5</v>
      </c>
      <c r="I461">
        <v>3</v>
      </c>
      <c r="J461">
        <v>3</v>
      </c>
      <c r="K461" t="s">
        <v>334</v>
      </c>
      <c r="L461">
        <v>82</v>
      </c>
      <c r="M461">
        <v>1406321</v>
      </c>
      <c r="N461">
        <v>0</v>
      </c>
      <c r="O461">
        <v>0</v>
      </c>
      <c r="P461">
        <v>238</v>
      </c>
      <c r="Q461" t="str">
        <f t="shared" si="8"/>
        <v>23p31a05g5@aect.dummy.in</v>
      </c>
    </row>
    <row r="462" spans="1:17" ht="14.4" x14ac:dyDescent="0.3">
      <c r="A462" t="s">
        <v>532</v>
      </c>
      <c r="B462" t="s">
        <v>515</v>
      </c>
      <c r="C462" t="s">
        <v>19</v>
      </c>
      <c r="D462">
        <v>1</v>
      </c>
      <c r="E462">
        <v>0</v>
      </c>
      <c r="F462">
        <v>0</v>
      </c>
      <c r="G462">
        <v>0</v>
      </c>
      <c r="H462">
        <v>0</v>
      </c>
      <c r="I462">
        <v>1</v>
      </c>
      <c r="J462">
        <v>0</v>
      </c>
      <c r="K462" t="s">
        <v>20</v>
      </c>
      <c r="L462">
        <v>0</v>
      </c>
      <c r="M462">
        <v>5000001</v>
      </c>
      <c r="N462">
        <v>0</v>
      </c>
      <c r="O462">
        <v>0</v>
      </c>
      <c r="P462">
        <v>122</v>
      </c>
      <c r="Q462" t="str">
        <f t="shared" si="8"/>
        <v>23p31a05h3@aect.dummy.in</v>
      </c>
    </row>
    <row r="463" spans="1:17" ht="14.4" x14ac:dyDescent="0.3">
      <c r="A463" t="s">
        <v>533</v>
      </c>
      <c r="B463" t="s">
        <v>515</v>
      </c>
      <c r="C463" t="s">
        <v>19</v>
      </c>
      <c r="D463">
        <v>3</v>
      </c>
      <c r="E463">
        <v>0</v>
      </c>
      <c r="F463">
        <v>0</v>
      </c>
      <c r="G463">
        <v>0</v>
      </c>
      <c r="H463">
        <v>0</v>
      </c>
      <c r="I463">
        <v>1</v>
      </c>
      <c r="J463">
        <v>0</v>
      </c>
      <c r="K463" t="s">
        <v>20</v>
      </c>
      <c r="L463">
        <v>0</v>
      </c>
      <c r="M463">
        <v>5000001</v>
      </c>
      <c r="N463">
        <v>0</v>
      </c>
      <c r="O463">
        <v>0</v>
      </c>
      <c r="P463">
        <v>115</v>
      </c>
      <c r="Q463" t="str">
        <f t="shared" si="8"/>
        <v>23p31a05h4@aect.dummy.in</v>
      </c>
    </row>
    <row r="464" spans="1:17" ht="14.4" x14ac:dyDescent="0.3">
      <c r="A464" t="s">
        <v>534</v>
      </c>
      <c r="B464" t="s">
        <v>515</v>
      </c>
      <c r="C464" t="s">
        <v>19</v>
      </c>
      <c r="D464">
        <v>3</v>
      </c>
      <c r="E464">
        <v>0</v>
      </c>
      <c r="F464">
        <v>0</v>
      </c>
      <c r="G464">
        <v>0</v>
      </c>
      <c r="H464">
        <v>0</v>
      </c>
      <c r="I464">
        <v>1</v>
      </c>
      <c r="J464">
        <v>0</v>
      </c>
      <c r="K464" t="s">
        <v>20</v>
      </c>
      <c r="L464">
        <v>0</v>
      </c>
      <c r="M464">
        <v>5000001</v>
      </c>
      <c r="N464">
        <v>0</v>
      </c>
      <c r="O464">
        <v>0</v>
      </c>
      <c r="P464">
        <v>122</v>
      </c>
      <c r="Q464" t="str">
        <f t="shared" si="8"/>
        <v>23p31a05h6@aect.dummy.in</v>
      </c>
    </row>
    <row r="465" spans="1:17" ht="14.4" x14ac:dyDescent="0.3">
      <c r="A465" t="s">
        <v>535</v>
      </c>
      <c r="B465" t="s">
        <v>515</v>
      </c>
      <c r="C465" t="s">
        <v>19</v>
      </c>
      <c r="D465">
        <v>2</v>
      </c>
      <c r="E465">
        <v>0</v>
      </c>
      <c r="F465">
        <v>0</v>
      </c>
      <c r="G465">
        <v>0</v>
      </c>
      <c r="H465">
        <v>0</v>
      </c>
      <c r="I465">
        <v>1</v>
      </c>
      <c r="J465">
        <v>1</v>
      </c>
      <c r="K465" t="s">
        <v>536</v>
      </c>
      <c r="L465">
        <v>1</v>
      </c>
      <c r="M465">
        <v>5000001</v>
      </c>
      <c r="N465">
        <v>3</v>
      </c>
      <c r="O465">
        <v>4</v>
      </c>
      <c r="P465">
        <v>1060</v>
      </c>
      <c r="Q465" t="str">
        <f t="shared" si="8"/>
        <v>23p31a05h8@aect.dummy.in</v>
      </c>
    </row>
    <row r="466" spans="1:17" ht="14.4" x14ac:dyDescent="0.3">
      <c r="A466" t="s">
        <v>537</v>
      </c>
      <c r="B466" t="s">
        <v>515</v>
      </c>
      <c r="C466" t="s">
        <v>19</v>
      </c>
      <c r="D466">
        <v>3</v>
      </c>
      <c r="E466">
        <v>0</v>
      </c>
      <c r="F466">
        <v>0</v>
      </c>
      <c r="G466">
        <v>0</v>
      </c>
      <c r="H466">
        <v>0</v>
      </c>
      <c r="I466">
        <v>1</v>
      </c>
      <c r="J466">
        <v>0</v>
      </c>
      <c r="K466" t="s">
        <v>20</v>
      </c>
      <c r="L466">
        <v>0</v>
      </c>
      <c r="M466">
        <v>5000001</v>
      </c>
      <c r="N466">
        <v>0</v>
      </c>
      <c r="O466">
        <v>0</v>
      </c>
      <c r="P466">
        <v>0</v>
      </c>
      <c r="Q466" t="str">
        <f t="shared" si="8"/>
        <v>23p31a05i7@aect.dummy.in</v>
      </c>
    </row>
    <row r="467" spans="1:17" ht="14.4" x14ac:dyDescent="0.3">
      <c r="A467" t="s">
        <v>538</v>
      </c>
      <c r="B467" t="s">
        <v>515</v>
      </c>
      <c r="C467" t="s">
        <v>19</v>
      </c>
      <c r="D467">
        <v>1</v>
      </c>
      <c r="E467">
        <v>0</v>
      </c>
      <c r="F467">
        <v>3</v>
      </c>
      <c r="G467">
        <v>0</v>
      </c>
      <c r="H467">
        <v>4</v>
      </c>
      <c r="I467">
        <v>3</v>
      </c>
      <c r="J467">
        <v>2</v>
      </c>
      <c r="K467" t="s">
        <v>67</v>
      </c>
      <c r="L467">
        <v>24</v>
      </c>
      <c r="M467">
        <v>3015789</v>
      </c>
      <c r="N467">
        <v>0</v>
      </c>
      <c r="O467">
        <v>0</v>
      </c>
      <c r="P467">
        <v>25</v>
      </c>
      <c r="Q467" t="str">
        <f t="shared" si="8"/>
        <v>23p31a05i9@aect.dummy.in</v>
      </c>
    </row>
    <row r="468" spans="1:17" ht="14.4" x14ac:dyDescent="0.3">
      <c r="A468" t="s">
        <v>539</v>
      </c>
      <c r="B468" t="s">
        <v>515</v>
      </c>
      <c r="C468" t="s">
        <v>19</v>
      </c>
      <c r="D468">
        <v>2</v>
      </c>
      <c r="E468">
        <v>0</v>
      </c>
      <c r="F468">
        <v>1</v>
      </c>
      <c r="G468">
        <v>1</v>
      </c>
      <c r="H468">
        <v>0</v>
      </c>
      <c r="I468">
        <v>3</v>
      </c>
      <c r="J468">
        <v>0</v>
      </c>
      <c r="K468" t="s">
        <v>20</v>
      </c>
      <c r="L468">
        <v>0</v>
      </c>
      <c r="M468">
        <v>5000001</v>
      </c>
      <c r="N468">
        <v>13</v>
      </c>
      <c r="O468">
        <v>20</v>
      </c>
      <c r="P468">
        <v>345</v>
      </c>
      <c r="Q468" t="str">
        <f t="shared" si="8"/>
        <v>23p31a05k0@aect.dummy.in</v>
      </c>
    </row>
    <row r="469" spans="1:17" ht="14.4" x14ac:dyDescent="0.3">
      <c r="A469" t="s">
        <v>540</v>
      </c>
      <c r="B469" t="s">
        <v>515</v>
      </c>
      <c r="C469" t="s">
        <v>19</v>
      </c>
      <c r="D469">
        <v>1</v>
      </c>
      <c r="E469">
        <v>0</v>
      </c>
      <c r="F469">
        <v>0</v>
      </c>
      <c r="G469">
        <v>0</v>
      </c>
      <c r="H469">
        <v>5</v>
      </c>
      <c r="I469">
        <v>2</v>
      </c>
      <c r="J469">
        <v>2</v>
      </c>
      <c r="K469" t="s">
        <v>67</v>
      </c>
      <c r="L469">
        <v>125</v>
      </c>
      <c r="M469">
        <v>993590</v>
      </c>
      <c r="N469">
        <v>19</v>
      </c>
      <c r="O469">
        <v>41</v>
      </c>
      <c r="P469">
        <v>166</v>
      </c>
      <c r="Q469" t="str">
        <f t="shared" si="8"/>
        <v>23p31a05k5@aect.dummy.in</v>
      </c>
    </row>
    <row r="470" spans="1:17" ht="14.4" x14ac:dyDescent="0.3">
      <c r="A470" t="s">
        <v>541</v>
      </c>
      <c r="B470" t="s">
        <v>515</v>
      </c>
      <c r="C470" t="s">
        <v>19</v>
      </c>
      <c r="D470">
        <v>4</v>
      </c>
      <c r="E470">
        <v>0</v>
      </c>
      <c r="F470">
        <v>2</v>
      </c>
      <c r="G470">
        <v>0</v>
      </c>
      <c r="H470">
        <v>5</v>
      </c>
      <c r="I470">
        <v>3</v>
      </c>
      <c r="J470">
        <v>2</v>
      </c>
      <c r="K470" t="s">
        <v>67</v>
      </c>
      <c r="L470">
        <v>89</v>
      </c>
      <c r="M470">
        <v>1321726</v>
      </c>
      <c r="N470">
        <v>91</v>
      </c>
      <c r="O470">
        <v>149</v>
      </c>
      <c r="P470">
        <v>370</v>
      </c>
      <c r="Q470" t="str">
        <f t="shared" si="8"/>
        <v>23p31a05l9@aect.dummy.in</v>
      </c>
    </row>
    <row r="471" spans="1:17" ht="14.4" x14ac:dyDescent="0.3">
      <c r="A471" t="s">
        <v>542</v>
      </c>
      <c r="B471" t="s">
        <v>515</v>
      </c>
      <c r="C471" t="s">
        <v>19</v>
      </c>
      <c r="D471">
        <v>3</v>
      </c>
      <c r="E471">
        <v>0</v>
      </c>
      <c r="F471">
        <v>0</v>
      </c>
      <c r="G471">
        <v>0</v>
      </c>
      <c r="H471">
        <v>0</v>
      </c>
      <c r="I471">
        <v>1</v>
      </c>
      <c r="J471">
        <v>0</v>
      </c>
      <c r="K471" t="s">
        <v>20</v>
      </c>
      <c r="L471">
        <v>20</v>
      </c>
      <c r="M471">
        <v>3310660</v>
      </c>
      <c r="N471">
        <v>0</v>
      </c>
      <c r="O471">
        <v>0</v>
      </c>
      <c r="P471">
        <v>28</v>
      </c>
      <c r="Q471" t="str">
        <f t="shared" si="8"/>
        <v>23p31a05m4@aect.dummy.in</v>
      </c>
    </row>
    <row r="472" spans="1:17" ht="14.4" x14ac:dyDescent="0.3">
      <c r="A472" t="s">
        <v>543</v>
      </c>
      <c r="B472" t="s">
        <v>515</v>
      </c>
      <c r="C472" t="s">
        <v>19</v>
      </c>
      <c r="D472">
        <v>1</v>
      </c>
      <c r="E472">
        <v>0</v>
      </c>
      <c r="F472">
        <v>0</v>
      </c>
      <c r="G472">
        <v>0</v>
      </c>
      <c r="H472">
        <v>0</v>
      </c>
      <c r="I472">
        <v>1</v>
      </c>
      <c r="J472">
        <v>1</v>
      </c>
      <c r="K472" t="s">
        <v>289</v>
      </c>
      <c r="L472">
        <v>0</v>
      </c>
      <c r="M472">
        <v>5000001</v>
      </c>
      <c r="N472">
        <v>0</v>
      </c>
      <c r="O472">
        <v>0</v>
      </c>
      <c r="P472">
        <v>60</v>
      </c>
      <c r="Q472" t="str">
        <f t="shared" si="8"/>
        <v>23p31a05m5@aect.dummy.in</v>
      </c>
    </row>
    <row r="473" spans="1:17" ht="14.4" x14ac:dyDescent="0.3">
      <c r="A473" t="s">
        <v>544</v>
      </c>
      <c r="B473" t="s">
        <v>515</v>
      </c>
      <c r="C473" t="s">
        <v>19</v>
      </c>
      <c r="D473">
        <v>3</v>
      </c>
      <c r="E473">
        <v>0</v>
      </c>
      <c r="F473">
        <v>0</v>
      </c>
      <c r="G473">
        <v>0</v>
      </c>
      <c r="H473">
        <v>5</v>
      </c>
      <c r="I473">
        <v>2</v>
      </c>
      <c r="J473">
        <v>2</v>
      </c>
      <c r="K473" t="s">
        <v>67</v>
      </c>
      <c r="L473">
        <v>23</v>
      </c>
      <c r="M473">
        <v>3076398</v>
      </c>
      <c r="N473">
        <v>0</v>
      </c>
      <c r="O473">
        <v>0</v>
      </c>
      <c r="P473">
        <v>56</v>
      </c>
      <c r="Q473" t="str">
        <f t="shared" si="8"/>
        <v>23p31a05o1@aect.dummy.in</v>
      </c>
    </row>
    <row r="474" spans="1:17" ht="14.4" x14ac:dyDescent="0.3">
      <c r="A474" t="s">
        <v>545</v>
      </c>
      <c r="B474" t="s">
        <v>515</v>
      </c>
      <c r="C474" t="s">
        <v>19</v>
      </c>
      <c r="D474">
        <v>2</v>
      </c>
      <c r="E474">
        <v>0</v>
      </c>
      <c r="F474">
        <v>0</v>
      </c>
      <c r="G474">
        <v>0</v>
      </c>
      <c r="H474">
        <v>0</v>
      </c>
      <c r="I474">
        <v>1</v>
      </c>
      <c r="J474">
        <v>1</v>
      </c>
      <c r="K474" t="s">
        <v>536</v>
      </c>
      <c r="L474">
        <v>0</v>
      </c>
      <c r="M474">
        <v>5000001</v>
      </c>
      <c r="N474">
        <v>0</v>
      </c>
      <c r="O474">
        <v>0</v>
      </c>
      <c r="P474">
        <v>266</v>
      </c>
      <c r="Q474" t="str">
        <f t="shared" si="8"/>
        <v>23p31a05o2@aect.dummy.in</v>
      </c>
    </row>
    <row r="475" spans="1:17" ht="14.4" x14ac:dyDescent="0.3">
      <c r="A475" t="s">
        <v>546</v>
      </c>
      <c r="B475" t="s">
        <v>515</v>
      </c>
      <c r="C475" t="s">
        <v>19</v>
      </c>
      <c r="D475">
        <v>1</v>
      </c>
      <c r="E475">
        <v>0</v>
      </c>
      <c r="F475">
        <v>0</v>
      </c>
      <c r="G475">
        <v>0</v>
      </c>
      <c r="H475">
        <v>4</v>
      </c>
      <c r="I475">
        <v>2</v>
      </c>
      <c r="J475">
        <v>1</v>
      </c>
      <c r="K475" t="s">
        <v>71</v>
      </c>
      <c r="L475">
        <v>24</v>
      </c>
      <c r="M475">
        <v>3015764</v>
      </c>
      <c r="N475">
        <v>2</v>
      </c>
      <c r="O475">
        <v>2</v>
      </c>
      <c r="P475">
        <v>266</v>
      </c>
      <c r="Q475" t="str">
        <f t="shared" si="8"/>
        <v>23p31a05p3@aect.dummy.in</v>
      </c>
    </row>
    <row r="476" spans="1:17" ht="14.4" x14ac:dyDescent="0.3">
      <c r="A476" t="s">
        <v>547</v>
      </c>
      <c r="B476" t="s">
        <v>515</v>
      </c>
      <c r="C476" t="s">
        <v>19</v>
      </c>
      <c r="D476">
        <v>2</v>
      </c>
      <c r="E476">
        <v>0</v>
      </c>
      <c r="F476">
        <v>0</v>
      </c>
      <c r="G476">
        <v>4</v>
      </c>
      <c r="H476">
        <v>0</v>
      </c>
      <c r="I476">
        <v>2</v>
      </c>
      <c r="J476">
        <v>1</v>
      </c>
      <c r="K476" t="s">
        <v>71</v>
      </c>
      <c r="L476">
        <v>0</v>
      </c>
      <c r="M476">
        <v>5000001</v>
      </c>
      <c r="N476">
        <v>0</v>
      </c>
      <c r="O476">
        <v>0</v>
      </c>
      <c r="P476">
        <v>276</v>
      </c>
      <c r="Q476" t="str">
        <f t="shared" si="8"/>
        <v>23p31a05p4@aect.dummy.in</v>
      </c>
    </row>
    <row r="477" spans="1:17" ht="14.4" x14ac:dyDescent="0.3">
      <c r="A477" t="s">
        <v>548</v>
      </c>
      <c r="B477" t="s">
        <v>515</v>
      </c>
      <c r="C477" t="s">
        <v>19</v>
      </c>
      <c r="D477">
        <v>0</v>
      </c>
      <c r="E477">
        <v>0</v>
      </c>
      <c r="F477">
        <v>2</v>
      </c>
      <c r="G477">
        <v>1</v>
      </c>
      <c r="H477">
        <v>5</v>
      </c>
      <c r="I477">
        <v>3</v>
      </c>
      <c r="J477">
        <v>2</v>
      </c>
      <c r="K477" t="s">
        <v>549</v>
      </c>
      <c r="L477">
        <v>36</v>
      </c>
      <c r="M477">
        <v>2421904</v>
      </c>
      <c r="N477">
        <v>0</v>
      </c>
      <c r="O477">
        <v>0</v>
      </c>
      <c r="P477">
        <v>142</v>
      </c>
      <c r="Q477" t="str">
        <f t="shared" si="8"/>
        <v>23p31a05r2@aect.dummy.in</v>
      </c>
    </row>
    <row r="478" spans="1:17" ht="14.4" x14ac:dyDescent="0.3">
      <c r="A478" t="s">
        <v>550</v>
      </c>
      <c r="B478" t="s">
        <v>515</v>
      </c>
      <c r="C478" t="s">
        <v>19</v>
      </c>
      <c r="D478">
        <v>4</v>
      </c>
      <c r="E478">
        <v>0</v>
      </c>
      <c r="F478">
        <v>0</v>
      </c>
      <c r="G478">
        <v>3</v>
      </c>
      <c r="H478">
        <v>3</v>
      </c>
      <c r="I478">
        <v>4</v>
      </c>
      <c r="J478">
        <v>0</v>
      </c>
      <c r="K478" t="s">
        <v>20</v>
      </c>
      <c r="L478">
        <v>145</v>
      </c>
      <c r="M478">
        <v>864023</v>
      </c>
      <c r="N478">
        <v>33</v>
      </c>
      <c r="O478">
        <v>61</v>
      </c>
      <c r="P478">
        <v>603</v>
      </c>
      <c r="Q478" t="str">
        <f t="shared" si="8"/>
        <v>23p31a1201@aect.dummy.in</v>
      </c>
    </row>
    <row r="479" spans="1:17" ht="14.4" x14ac:dyDescent="0.3">
      <c r="A479" t="s">
        <v>551</v>
      </c>
      <c r="B479" t="s">
        <v>515</v>
      </c>
      <c r="C479" t="s">
        <v>19</v>
      </c>
      <c r="D479">
        <v>3</v>
      </c>
      <c r="E479">
        <v>0</v>
      </c>
      <c r="F479">
        <v>0</v>
      </c>
      <c r="G479">
        <v>0</v>
      </c>
      <c r="H479">
        <v>2</v>
      </c>
      <c r="I479">
        <v>2</v>
      </c>
      <c r="J479">
        <v>2</v>
      </c>
      <c r="K479" t="s">
        <v>67</v>
      </c>
      <c r="L479">
        <v>29</v>
      </c>
      <c r="M479">
        <v>2723516</v>
      </c>
      <c r="N479">
        <v>9</v>
      </c>
      <c r="O479">
        <v>21</v>
      </c>
      <c r="P479">
        <v>105</v>
      </c>
      <c r="Q479" t="str">
        <f t="shared" si="8"/>
        <v>23p31a1202@aect.dummy.in</v>
      </c>
    </row>
    <row r="480" spans="1:17" ht="14.4" x14ac:dyDescent="0.3">
      <c r="A480" t="s">
        <v>552</v>
      </c>
      <c r="B480" t="s">
        <v>515</v>
      </c>
      <c r="C480" t="s">
        <v>19</v>
      </c>
      <c r="D480">
        <v>2</v>
      </c>
      <c r="E480">
        <v>0</v>
      </c>
      <c r="F480">
        <v>1</v>
      </c>
      <c r="G480">
        <v>0</v>
      </c>
      <c r="H480">
        <v>4</v>
      </c>
      <c r="I480">
        <v>3</v>
      </c>
      <c r="J480">
        <v>1</v>
      </c>
      <c r="K480" t="s">
        <v>71</v>
      </c>
      <c r="L480">
        <v>23</v>
      </c>
      <c r="M480">
        <v>3075465</v>
      </c>
      <c r="N480">
        <v>3</v>
      </c>
      <c r="O480">
        <v>4</v>
      </c>
      <c r="P480">
        <v>382</v>
      </c>
      <c r="Q480" t="str">
        <f t="shared" si="8"/>
        <v>23p31a1203@aect.dummy.in</v>
      </c>
    </row>
    <row r="481" spans="1:17" ht="14.4" x14ac:dyDescent="0.3">
      <c r="A481" t="s">
        <v>553</v>
      </c>
      <c r="B481" t="s">
        <v>515</v>
      </c>
      <c r="C481" t="s">
        <v>19</v>
      </c>
      <c r="D481">
        <v>4</v>
      </c>
      <c r="E481">
        <v>0</v>
      </c>
      <c r="F481">
        <v>0</v>
      </c>
      <c r="G481">
        <v>4</v>
      </c>
      <c r="H481">
        <v>1</v>
      </c>
      <c r="I481">
        <v>4</v>
      </c>
      <c r="J481">
        <v>1</v>
      </c>
      <c r="K481" t="s">
        <v>339</v>
      </c>
      <c r="L481">
        <v>318</v>
      </c>
      <c r="M481">
        <v>328420</v>
      </c>
      <c r="N481">
        <v>18</v>
      </c>
      <c r="O481">
        <v>42</v>
      </c>
      <c r="P481">
        <v>19</v>
      </c>
      <c r="Q481" t="str">
        <f t="shared" si="8"/>
        <v>23p31a1205@aect.dummy.in</v>
      </c>
    </row>
    <row r="482" spans="1:17" ht="14.4" x14ac:dyDescent="0.3">
      <c r="A482" t="s">
        <v>554</v>
      </c>
      <c r="B482" t="s">
        <v>515</v>
      </c>
      <c r="C482" t="s">
        <v>19</v>
      </c>
      <c r="D482">
        <v>3</v>
      </c>
      <c r="E482">
        <v>0</v>
      </c>
      <c r="F482">
        <v>0</v>
      </c>
      <c r="G482">
        <v>0</v>
      </c>
      <c r="H482">
        <v>3</v>
      </c>
      <c r="I482">
        <v>3</v>
      </c>
      <c r="J482">
        <v>1</v>
      </c>
      <c r="K482" t="s">
        <v>71</v>
      </c>
      <c r="L482">
        <v>20</v>
      </c>
      <c r="M482">
        <v>3294200</v>
      </c>
      <c r="N482">
        <v>0</v>
      </c>
      <c r="O482">
        <v>0</v>
      </c>
      <c r="P482">
        <v>4</v>
      </c>
      <c r="Q482" t="str">
        <f t="shared" si="8"/>
        <v>23p31a1206@aect.dummy.in</v>
      </c>
    </row>
    <row r="483" spans="1:17" ht="14.4" x14ac:dyDescent="0.3">
      <c r="A483" t="s">
        <v>555</v>
      </c>
      <c r="B483" t="s">
        <v>515</v>
      </c>
      <c r="C483" t="s">
        <v>19</v>
      </c>
      <c r="D483">
        <v>5</v>
      </c>
      <c r="E483">
        <v>0</v>
      </c>
      <c r="F483">
        <v>0</v>
      </c>
      <c r="G483">
        <v>0</v>
      </c>
      <c r="H483">
        <v>5</v>
      </c>
      <c r="I483">
        <v>2</v>
      </c>
      <c r="J483">
        <v>2</v>
      </c>
      <c r="K483" t="s">
        <v>140</v>
      </c>
      <c r="L483">
        <v>76</v>
      </c>
      <c r="M483">
        <v>1488171</v>
      </c>
      <c r="N483">
        <v>8</v>
      </c>
      <c r="O483">
        <v>13</v>
      </c>
      <c r="P483">
        <v>8</v>
      </c>
      <c r="Q483" t="str">
        <f t="shared" si="8"/>
        <v>23p31a1208@aect.dummy.in</v>
      </c>
    </row>
    <row r="484" spans="1:17" ht="14.4" x14ac:dyDescent="0.3">
      <c r="A484" t="s">
        <v>556</v>
      </c>
      <c r="B484" t="s">
        <v>515</v>
      </c>
      <c r="C484" t="s">
        <v>19</v>
      </c>
      <c r="D484">
        <v>4</v>
      </c>
      <c r="E484">
        <v>0</v>
      </c>
      <c r="F484">
        <v>1</v>
      </c>
      <c r="G484">
        <v>2</v>
      </c>
      <c r="H484">
        <v>4</v>
      </c>
      <c r="I484">
        <v>4</v>
      </c>
      <c r="J484">
        <v>2</v>
      </c>
      <c r="K484" t="s">
        <v>67</v>
      </c>
      <c r="L484">
        <v>46</v>
      </c>
      <c r="M484">
        <v>2090096</v>
      </c>
      <c r="N484">
        <v>38</v>
      </c>
      <c r="O484">
        <v>50</v>
      </c>
      <c r="P484">
        <v>1198</v>
      </c>
      <c r="Q484" t="str">
        <f t="shared" si="8"/>
        <v>23p31a1209@aect.dummy.in</v>
      </c>
    </row>
    <row r="485" spans="1:17" ht="14.4" x14ac:dyDescent="0.3">
      <c r="A485" t="s">
        <v>557</v>
      </c>
      <c r="B485" t="s">
        <v>515</v>
      </c>
      <c r="C485" t="s">
        <v>36</v>
      </c>
      <c r="D485">
        <v>2</v>
      </c>
      <c r="E485">
        <v>0</v>
      </c>
      <c r="F485">
        <v>1</v>
      </c>
      <c r="G485">
        <v>1</v>
      </c>
      <c r="H485">
        <v>0</v>
      </c>
      <c r="I485">
        <v>4</v>
      </c>
      <c r="J485">
        <v>0</v>
      </c>
      <c r="K485" t="s">
        <v>20</v>
      </c>
      <c r="L485">
        <v>25</v>
      </c>
      <c r="M485">
        <v>2942970</v>
      </c>
      <c r="N485">
        <v>13</v>
      </c>
      <c r="O485">
        <v>19</v>
      </c>
      <c r="P485">
        <v>601</v>
      </c>
      <c r="Q485" t="str">
        <f t="shared" si="8"/>
        <v>23p31a1210@aect.dummy.in</v>
      </c>
    </row>
    <row r="486" spans="1:17" ht="14.4" x14ac:dyDescent="0.3">
      <c r="A486" t="s">
        <v>558</v>
      </c>
      <c r="B486" t="s">
        <v>515</v>
      </c>
      <c r="C486" t="s">
        <v>36</v>
      </c>
      <c r="D486">
        <v>4</v>
      </c>
      <c r="E486">
        <v>0</v>
      </c>
      <c r="F486">
        <v>0</v>
      </c>
      <c r="G486">
        <v>0</v>
      </c>
      <c r="H486">
        <v>3</v>
      </c>
      <c r="I486">
        <v>2</v>
      </c>
      <c r="J486">
        <v>5</v>
      </c>
      <c r="K486" t="s">
        <v>559</v>
      </c>
      <c r="L486">
        <v>14</v>
      </c>
      <c r="M486">
        <v>3892724</v>
      </c>
      <c r="N486">
        <v>0</v>
      </c>
      <c r="O486">
        <v>0</v>
      </c>
      <c r="P486">
        <v>0</v>
      </c>
      <c r="Q486" t="str">
        <f t="shared" si="8"/>
        <v>23p31a1211@aect.dummy.in</v>
      </c>
    </row>
    <row r="487" spans="1:17" ht="14.4" x14ac:dyDescent="0.3">
      <c r="A487" t="s">
        <v>560</v>
      </c>
      <c r="B487" t="s">
        <v>515</v>
      </c>
      <c r="C487" t="s">
        <v>36</v>
      </c>
      <c r="D487">
        <v>4</v>
      </c>
      <c r="E487">
        <v>0</v>
      </c>
      <c r="F487">
        <v>2</v>
      </c>
      <c r="G487">
        <v>2</v>
      </c>
      <c r="H487">
        <v>3</v>
      </c>
      <c r="I487">
        <v>5</v>
      </c>
      <c r="J487">
        <v>2</v>
      </c>
      <c r="K487" t="s">
        <v>67</v>
      </c>
      <c r="L487">
        <v>58</v>
      </c>
      <c r="M487">
        <v>1793952</v>
      </c>
      <c r="N487">
        <v>35</v>
      </c>
      <c r="O487">
        <v>46</v>
      </c>
      <c r="P487">
        <v>500</v>
      </c>
      <c r="Q487" t="str">
        <f t="shared" si="8"/>
        <v>23p31a1212@aect.dummy.in</v>
      </c>
    </row>
    <row r="488" spans="1:17" ht="14.4" x14ac:dyDescent="0.3">
      <c r="A488" t="s">
        <v>561</v>
      </c>
      <c r="B488" t="s">
        <v>515</v>
      </c>
      <c r="C488" t="s">
        <v>36</v>
      </c>
      <c r="D488">
        <v>5</v>
      </c>
      <c r="E488">
        <v>5</v>
      </c>
      <c r="F488">
        <v>5</v>
      </c>
      <c r="G488">
        <v>5</v>
      </c>
      <c r="H488">
        <v>5</v>
      </c>
      <c r="I488">
        <v>6</v>
      </c>
      <c r="J488">
        <v>16</v>
      </c>
      <c r="K488" t="s">
        <v>562</v>
      </c>
      <c r="L488">
        <v>677</v>
      </c>
      <c r="M488">
        <v>71047</v>
      </c>
      <c r="N488">
        <v>243</v>
      </c>
      <c r="O488">
        <v>353</v>
      </c>
      <c r="P488">
        <v>68</v>
      </c>
      <c r="Q488" t="str">
        <f t="shared" si="8"/>
        <v>23p31a1216@aect.dummy.in</v>
      </c>
    </row>
    <row r="489" spans="1:17" ht="14.4" x14ac:dyDescent="0.3">
      <c r="A489" t="s">
        <v>563</v>
      </c>
      <c r="B489" t="s">
        <v>515</v>
      </c>
      <c r="C489" t="s">
        <v>36</v>
      </c>
      <c r="D489">
        <v>5</v>
      </c>
      <c r="E489">
        <v>0</v>
      </c>
      <c r="F489">
        <v>0</v>
      </c>
      <c r="G489">
        <v>2</v>
      </c>
      <c r="H489">
        <v>3</v>
      </c>
      <c r="I489">
        <v>3</v>
      </c>
      <c r="J489">
        <v>2</v>
      </c>
      <c r="K489" t="s">
        <v>67</v>
      </c>
      <c r="L489">
        <v>134</v>
      </c>
      <c r="M489">
        <v>932098</v>
      </c>
      <c r="N489">
        <v>23</v>
      </c>
      <c r="O489">
        <v>34</v>
      </c>
      <c r="P489">
        <v>841</v>
      </c>
      <c r="Q489" t="str">
        <f t="shared" si="8"/>
        <v>23p31a1218@aect.dummy.in</v>
      </c>
    </row>
    <row r="490" spans="1:17" ht="14.4" x14ac:dyDescent="0.3">
      <c r="A490" t="s">
        <v>564</v>
      </c>
      <c r="B490" t="s">
        <v>515</v>
      </c>
      <c r="C490" t="s">
        <v>36</v>
      </c>
      <c r="D490">
        <v>4</v>
      </c>
      <c r="E490">
        <v>2</v>
      </c>
      <c r="F490">
        <v>1</v>
      </c>
      <c r="G490">
        <v>3</v>
      </c>
      <c r="H490">
        <v>4</v>
      </c>
      <c r="I490">
        <v>6</v>
      </c>
      <c r="J490">
        <v>2</v>
      </c>
      <c r="K490" t="s">
        <v>67</v>
      </c>
      <c r="L490">
        <v>105</v>
      </c>
      <c r="M490">
        <v>1157383</v>
      </c>
      <c r="N490">
        <v>82</v>
      </c>
      <c r="O490">
        <v>243</v>
      </c>
      <c r="P490">
        <v>566</v>
      </c>
      <c r="Q490" t="str">
        <f t="shared" si="8"/>
        <v>23p31a1221@aect.dummy.in</v>
      </c>
    </row>
    <row r="491" spans="1:17" ht="14.4" x14ac:dyDescent="0.3">
      <c r="A491" t="s">
        <v>565</v>
      </c>
      <c r="B491" t="s">
        <v>515</v>
      </c>
      <c r="C491" t="s">
        <v>36</v>
      </c>
      <c r="D491">
        <v>4</v>
      </c>
      <c r="E491">
        <v>1</v>
      </c>
      <c r="F491">
        <v>2</v>
      </c>
      <c r="G491">
        <v>3</v>
      </c>
      <c r="H491">
        <v>3</v>
      </c>
      <c r="I491">
        <v>6</v>
      </c>
      <c r="J491">
        <v>2</v>
      </c>
      <c r="K491" t="s">
        <v>67</v>
      </c>
      <c r="L491">
        <v>110</v>
      </c>
      <c r="M491">
        <v>1112499</v>
      </c>
      <c r="N491">
        <v>45</v>
      </c>
      <c r="O491">
        <v>75</v>
      </c>
      <c r="P491">
        <v>378</v>
      </c>
      <c r="Q491" t="str">
        <f t="shared" si="8"/>
        <v>23p31a1222@aect.dummy.in</v>
      </c>
    </row>
    <row r="492" spans="1:17" ht="14.4" x14ac:dyDescent="0.3">
      <c r="A492" t="s">
        <v>566</v>
      </c>
      <c r="B492" t="s">
        <v>515</v>
      </c>
      <c r="C492" t="s">
        <v>36</v>
      </c>
      <c r="D492">
        <v>3</v>
      </c>
      <c r="E492">
        <v>0</v>
      </c>
      <c r="F492">
        <v>0</v>
      </c>
      <c r="G492">
        <v>0</v>
      </c>
      <c r="H492">
        <v>4</v>
      </c>
      <c r="I492">
        <v>3</v>
      </c>
      <c r="J492">
        <v>2</v>
      </c>
      <c r="K492" t="s">
        <v>67</v>
      </c>
      <c r="L492">
        <v>38</v>
      </c>
      <c r="M492">
        <v>2342014</v>
      </c>
      <c r="N492">
        <v>2</v>
      </c>
      <c r="O492">
        <v>2</v>
      </c>
      <c r="P492">
        <v>240</v>
      </c>
      <c r="Q492" t="str">
        <f t="shared" si="8"/>
        <v>23p31a1223@aect.dummy.in</v>
      </c>
    </row>
    <row r="493" spans="1:17" ht="14.4" x14ac:dyDescent="0.3">
      <c r="A493" t="s">
        <v>567</v>
      </c>
      <c r="B493" t="s">
        <v>515</v>
      </c>
      <c r="C493" t="s">
        <v>36</v>
      </c>
      <c r="D493">
        <v>3</v>
      </c>
      <c r="E493">
        <v>0</v>
      </c>
      <c r="F493">
        <v>0</v>
      </c>
      <c r="G493">
        <v>0</v>
      </c>
      <c r="H493">
        <v>4</v>
      </c>
      <c r="I493">
        <v>3</v>
      </c>
      <c r="J493">
        <v>1</v>
      </c>
      <c r="K493" t="s">
        <v>71</v>
      </c>
      <c r="L493">
        <v>66</v>
      </c>
      <c r="M493">
        <v>1642927</v>
      </c>
      <c r="N493">
        <v>0</v>
      </c>
      <c r="O493">
        <v>0</v>
      </c>
      <c r="P493">
        <v>157</v>
      </c>
      <c r="Q493" t="str">
        <f t="shared" si="8"/>
        <v>23p31a1225@aect.dummy.in</v>
      </c>
    </row>
    <row r="494" spans="1:17" ht="14.4" x14ac:dyDescent="0.3">
      <c r="A494" t="s">
        <v>568</v>
      </c>
      <c r="B494" t="s">
        <v>515</v>
      </c>
      <c r="C494" t="s">
        <v>36</v>
      </c>
      <c r="D494">
        <v>3</v>
      </c>
      <c r="E494">
        <v>0</v>
      </c>
      <c r="F494">
        <v>0</v>
      </c>
      <c r="G494">
        <v>0</v>
      </c>
      <c r="H494">
        <v>2</v>
      </c>
      <c r="I494">
        <v>2</v>
      </c>
      <c r="J494">
        <v>1</v>
      </c>
      <c r="K494" t="s">
        <v>71</v>
      </c>
      <c r="L494">
        <v>7</v>
      </c>
      <c r="M494">
        <v>5000001</v>
      </c>
      <c r="N494">
        <v>0</v>
      </c>
      <c r="O494">
        <v>0</v>
      </c>
      <c r="P494">
        <v>331</v>
      </c>
      <c r="Q494" t="str">
        <f t="shared" si="8"/>
        <v>23p31a1226@aect.dummy.in</v>
      </c>
    </row>
    <row r="495" spans="1:17" ht="14.4" x14ac:dyDescent="0.3">
      <c r="A495" t="s">
        <v>569</v>
      </c>
      <c r="B495" t="s">
        <v>515</v>
      </c>
      <c r="C495" t="s">
        <v>36</v>
      </c>
      <c r="D495">
        <v>3</v>
      </c>
      <c r="E495">
        <v>0</v>
      </c>
      <c r="F495">
        <v>2</v>
      </c>
      <c r="G495">
        <v>2</v>
      </c>
      <c r="H495">
        <v>4</v>
      </c>
      <c r="I495">
        <v>4</v>
      </c>
      <c r="J495">
        <v>1</v>
      </c>
      <c r="K495" t="s">
        <v>71</v>
      </c>
      <c r="L495">
        <v>74</v>
      </c>
      <c r="M495">
        <v>1516981</v>
      </c>
      <c r="N495">
        <v>23</v>
      </c>
      <c r="O495">
        <v>45</v>
      </c>
      <c r="P495">
        <v>1240</v>
      </c>
      <c r="Q495" t="str">
        <f t="shared" si="8"/>
        <v>23p31a1227@aect.dummy.in</v>
      </c>
    </row>
    <row r="496" spans="1:17" ht="14.4" x14ac:dyDescent="0.3">
      <c r="A496" t="s">
        <v>570</v>
      </c>
      <c r="B496" t="s">
        <v>515</v>
      </c>
      <c r="C496" t="s">
        <v>36</v>
      </c>
      <c r="D496">
        <v>3</v>
      </c>
      <c r="E496">
        <v>0</v>
      </c>
      <c r="F496">
        <v>0</v>
      </c>
      <c r="G496">
        <v>3</v>
      </c>
      <c r="H496">
        <v>4</v>
      </c>
      <c r="I496">
        <v>4</v>
      </c>
      <c r="J496">
        <v>2</v>
      </c>
      <c r="K496" t="s">
        <v>67</v>
      </c>
      <c r="L496">
        <v>91</v>
      </c>
      <c r="M496">
        <v>1299229</v>
      </c>
      <c r="N496">
        <v>59</v>
      </c>
      <c r="O496">
        <v>198</v>
      </c>
      <c r="P496">
        <v>146</v>
      </c>
      <c r="Q496" t="str">
        <f t="shared" si="8"/>
        <v>23p31a1228@aect.dummy.in</v>
      </c>
    </row>
    <row r="497" spans="1:17" ht="14.4" x14ac:dyDescent="0.3">
      <c r="A497" t="s">
        <v>571</v>
      </c>
      <c r="B497" t="s">
        <v>515</v>
      </c>
      <c r="C497" t="s">
        <v>36</v>
      </c>
      <c r="D497">
        <v>3</v>
      </c>
      <c r="E497">
        <v>0</v>
      </c>
      <c r="F497">
        <v>1</v>
      </c>
      <c r="G497">
        <v>0</v>
      </c>
      <c r="H497">
        <v>4</v>
      </c>
      <c r="I497">
        <v>3</v>
      </c>
      <c r="J497">
        <v>1</v>
      </c>
      <c r="K497" t="s">
        <v>71</v>
      </c>
      <c r="L497">
        <v>33</v>
      </c>
      <c r="M497">
        <v>2540970</v>
      </c>
      <c r="N497">
        <v>1</v>
      </c>
      <c r="O497">
        <v>1</v>
      </c>
      <c r="P497">
        <v>540</v>
      </c>
      <c r="Q497" t="str">
        <f t="shared" si="8"/>
        <v>23p31a1230@aect.dummy.in</v>
      </c>
    </row>
    <row r="498" spans="1:17" ht="14.4" x14ac:dyDescent="0.3">
      <c r="A498" t="s">
        <v>572</v>
      </c>
      <c r="B498" t="s">
        <v>515</v>
      </c>
      <c r="C498" t="s">
        <v>36</v>
      </c>
      <c r="D498">
        <v>0</v>
      </c>
      <c r="E498">
        <v>0</v>
      </c>
      <c r="F498">
        <v>0</v>
      </c>
      <c r="G498">
        <v>0</v>
      </c>
      <c r="H498">
        <v>0</v>
      </c>
      <c r="I498">
        <v>0</v>
      </c>
      <c r="J498">
        <v>0</v>
      </c>
      <c r="K498" t="s">
        <v>20</v>
      </c>
      <c r="L498">
        <v>0</v>
      </c>
      <c r="M498">
        <v>5000001</v>
      </c>
      <c r="N498">
        <v>0</v>
      </c>
      <c r="O498">
        <v>0</v>
      </c>
      <c r="P498">
        <v>11</v>
      </c>
      <c r="Q498" t="str">
        <f t="shared" si="8"/>
        <v>23p31a1231@aect.dummy.in</v>
      </c>
    </row>
    <row r="499" spans="1:17" ht="14.4" x14ac:dyDescent="0.3">
      <c r="A499" t="s">
        <v>573</v>
      </c>
      <c r="B499" t="s">
        <v>515</v>
      </c>
      <c r="C499" t="s">
        <v>36</v>
      </c>
      <c r="D499">
        <v>3</v>
      </c>
      <c r="E499">
        <v>1</v>
      </c>
      <c r="F499">
        <v>2</v>
      </c>
      <c r="G499">
        <v>2</v>
      </c>
      <c r="H499">
        <v>1</v>
      </c>
      <c r="I499">
        <v>6</v>
      </c>
      <c r="J499">
        <v>4</v>
      </c>
      <c r="K499" t="s">
        <v>574</v>
      </c>
      <c r="L499">
        <v>24</v>
      </c>
      <c r="M499">
        <v>3004913</v>
      </c>
      <c r="N499">
        <v>15</v>
      </c>
      <c r="O499">
        <v>23</v>
      </c>
      <c r="P499">
        <v>585</v>
      </c>
      <c r="Q499" t="str">
        <f t="shared" si="8"/>
        <v>23p31a1232@aect.dummy.in</v>
      </c>
    </row>
    <row r="500" spans="1:17" ht="14.4" x14ac:dyDescent="0.3">
      <c r="A500" t="s">
        <v>575</v>
      </c>
      <c r="B500" t="s">
        <v>515</v>
      </c>
      <c r="C500" t="s">
        <v>36</v>
      </c>
      <c r="D500">
        <v>0</v>
      </c>
      <c r="E500">
        <v>0</v>
      </c>
      <c r="F500">
        <v>0</v>
      </c>
      <c r="G500">
        <v>0</v>
      </c>
      <c r="H500">
        <v>0</v>
      </c>
      <c r="I500">
        <v>0</v>
      </c>
      <c r="J500">
        <v>0</v>
      </c>
      <c r="K500" t="s">
        <v>20</v>
      </c>
      <c r="L500">
        <v>1</v>
      </c>
      <c r="M500">
        <v>5000001</v>
      </c>
      <c r="N500">
        <v>0</v>
      </c>
      <c r="O500">
        <v>0</v>
      </c>
      <c r="P500">
        <v>2</v>
      </c>
      <c r="Q500" t="str">
        <f t="shared" si="8"/>
        <v>23p31a1235@aect.dummy.in</v>
      </c>
    </row>
    <row r="501" spans="1:17" ht="14.4" x14ac:dyDescent="0.3">
      <c r="A501" t="s">
        <v>576</v>
      </c>
      <c r="B501" t="s">
        <v>515</v>
      </c>
      <c r="C501" t="s">
        <v>36</v>
      </c>
      <c r="D501">
        <v>1</v>
      </c>
      <c r="E501">
        <v>0</v>
      </c>
      <c r="F501">
        <v>0</v>
      </c>
      <c r="G501">
        <v>0</v>
      </c>
      <c r="H501">
        <v>2</v>
      </c>
      <c r="I501">
        <v>2</v>
      </c>
      <c r="J501">
        <v>1</v>
      </c>
      <c r="K501" t="s">
        <v>71</v>
      </c>
      <c r="L501">
        <v>10</v>
      </c>
      <c r="M501">
        <v>4512615</v>
      </c>
      <c r="N501">
        <v>0</v>
      </c>
      <c r="O501">
        <v>0</v>
      </c>
      <c r="P501">
        <v>324</v>
      </c>
      <c r="Q501" t="str">
        <f t="shared" si="8"/>
        <v>23p31a1249@aect.dummy.in</v>
      </c>
    </row>
    <row r="502" spans="1:17" ht="14.4" x14ac:dyDescent="0.3">
      <c r="A502" t="s">
        <v>577</v>
      </c>
      <c r="B502" t="s">
        <v>515</v>
      </c>
      <c r="C502" t="s">
        <v>36</v>
      </c>
      <c r="D502">
        <v>1</v>
      </c>
      <c r="E502">
        <v>0</v>
      </c>
      <c r="F502">
        <v>2</v>
      </c>
      <c r="G502">
        <v>0</v>
      </c>
      <c r="H502">
        <v>5</v>
      </c>
      <c r="I502">
        <v>3</v>
      </c>
      <c r="J502">
        <v>4</v>
      </c>
      <c r="K502" t="s">
        <v>578</v>
      </c>
      <c r="L502">
        <v>165</v>
      </c>
      <c r="M502">
        <v>755250</v>
      </c>
      <c r="N502">
        <v>62</v>
      </c>
      <c r="O502">
        <v>179</v>
      </c>
      <c r="P502">
        <v>501</v>
      </c>
      <c r="Q502" t="str">
        <f t="shared" si="8"/>
        <v>23p31a1250@aect.dummy.in</v>
      </c>
    </row>
    <row r="503" spans="1:17" ht="14.4" x14ac:dyDescent="0.3">
      <c r="A503" t="s">
        <v>579</v>
      </c>
      <c r="B503" t="s">
        <v>515</v>
      </c>
      <c r="C503" t="s">
        <v>36</v>
      </c>
      <c r="D503">
        <v>0</v>
      </c>
      <c r="E503">
        <v>0</v>
      </c>
      <c r="F503">
        <v>0</v>
      </c>
      <c r="G503">
        <v>0</v>
      </c>
      <c r="H503">
        <v>0</v>
      </c>
      <c r="I503">
        <v>0</v>
      </c>
      <c r="J503">
        <v>0</v>
      </c>
      <c r="K503" t="s">
        <v>20</v>
      </c>
      <c r="L503">
        <v>0</v>
      </c>
      <c r="M503">
        <v>5000001</v>
      </c>
      <c r="N503">
        <v>0</v>
      </c>
      <c r="O503">
        <v>0</v>
      </c>
      <c r="P503">
        <v>12</v>
      </c>
      <c r="Q503" t="str">
        <f t="shared" si="8"/>
        <v>23p31a1253@aect.dummy.in</v>
      </c>
    </row>
    <row r="504" spans="1:17" ht="14.4" x14ac:dyDescent="0.3">
      <c r="A504" t="s">
        <v>580</v>
      </c>
      <c r="B504" t="s">
        <v>515</v>
      </c>
      <c r="C504" t="s">
        <v>36</v>
      </c>
      <c r="D504">
        <v>0</v>
      </c>
      <c r="E504">
        <v>0</v>
      </c>
      <c r="F504">
        <v>0</v>
      </c>
      <c r="G504">
        <v>0</v>
      </c>
      <c r="H504">
        <v>1</v>
      </c>
      <c r="I504">
        <v>1</v>
      </c>
      <c r="J504">
        <v>0</v>
      </c>
      <c r="K504" t="s">
        <v>20</v>
      </c>
      <c r="L504">
        <v>0</v>
      </c>
      <c r="M504">
        <v>5000001</v>
      </c>
      <c r="N504">
        <v>0</v>
      </c>
      <c r="O504">
        <v>0</v>
      </c>
      <c r="P504">
        <v>44</v>
      </c>
      <c r="Q504" t="str">
        <f t="shared" si="8"/>
        <v>23p31a1264@aect.dummy.in</v>
      </c>
    </row>
    <row r="505" spans="1:17" ht="14.4" x14ac:dyDescent="0.3">
      <c r="A505" t="s">
        <v>581</v>
      </c>
      <c r="B505" t="s">
        <v>515</v>
      </c>
      <c r="C505" t="s">
        <v>36</v>
      </c>
      <c r="D505">
        <v>0</v>
      </c>
      <c r="E505">
        <v>0</v>
      </c>
      <c r="F505">
        <v>0</v>
      </c>
      <c r="G505">
        <v>0</v>
      </c>
      <c r="H505">
        <v>1</v>
      </c>
      <c r="I505">
        <v>1</v>
      </c>
      <c r="J505">
        <v>1</v>
      </c>
      <c r="K505" t="s">
        <v>71</v>
      </c>
      <c r="L505">
        <v>10</v>
      </c>
      <c r="M505">
        <v>4503233</v>
      </c>
      <c r="N505">
        <v>0</v>
      </c>
      <c r="O505">
        <v>0</v>
      </c>
      <c r="P505">
        <v>22</v>
      </c>
      <c r="Q505" t="str">
        <f t="shared" si="8"/>
        <v>23p31a1266@aect.dummy.in</v>
      </c>
    </row>
    <row r="506" spans="1:17" ht="14.4" x14ac:dyDescent="0.3">
      <c r="A506" t="s">
        <v>582</v>
      </c>
      <c r="B506" t="s">
        <v>515</v>
      </c>
      <c r="C506" t="s">
        <v>36</v>
      </c>
      <c r="D506">
        <v>1</v>
      </c>
      <c r="E506">
        <v>0</v>
      </c>
      <c r="F506">
        <v>0</v>
      </c>
      <c r="G506">
        <v>3</v>
      </c>
      <c r="H506">
        <v>1</v>
      </c>
      <c r="I506">
        <v>3</v>
      </c>
      <c r="J506">
        <v>2</v>
      </c>
      <c r="K506" t="s">
        <v>583</v>
      </c>
      <c r="L506">
        <v>0</v>
      </c>
      <c r="M506">
        <v>5000001</v>
      </c>
      <c r="N506">
        <v>0</v>
      </c>
      <c r="O506">
        <v>0</v>
      </c>
      <c r="P506">
        <v>0</v>
      </c>
      <c r="Q506" t="str">
        <f t="shared" ref="Q506:Q569" si="9">LOWER(A506) &amp;"@aect.dummy.in"</f>
        <v>23p31a1271@aect.dummy.in</v>
      </c>
    </row>
    <row r="507" spans="1:17" ht="14.4" x14ac:dyDescent="0.3">
      <c r="A507" t="s">
        <v>584</v>
      </c>
      <c r="B507" t="s">
        <v>515</v>
      </c>
      <c r="C507" t="s">
        <v>36</v>
      </c>
      <c r="D507">
        <v>1</v>
      </c>
      <c r="E507">
        <v>0</v>
      </c>
      <c r="F507">
        <v>0</v>
      </c>
      <c r="G507">
        <v>0</v>
      </c>
      <c r="H507">
        <v>0</v>
      </c>
      <c r="I507">
        <v>1</v>
      </c>
      <c r="J507">
        <v>2</v>
      </c>
      <c r="K507" t="s">
        <v>583</v>
      </c>
      <c r="L507">
        <v>0</v>
      </c>
      <c r="M507">
        <v>5000001</v>
      </c>
      <c r="N507">
        <v>0</v>
      </c>
      <c r="O507">
        <v>0</v>
      </c>
      <c r="P507">
        <v>0</v>
      </c>
      <c r="Q507" t="str">
        <f t="shared" si="9"/>
        <v>23p31a1277@aect.dummy.in</v>
      </c>
    </row>
    <row r="508" spans="1:17" ht="14.4" x14ac:dyDescent="0.3">
      <c r="A508" t="s">
        <v>585</v>
      </c>
      <c r="B508" t="s">
        <v>515</v>
      </c>
      <c r="C508" t="s">
        <v>36</v>
      </c>
      <c r="D508">
        <v>0</v>
      </c>
      <c r="E508">
        <v>0</v>
      </c>
      <c r="F508">
        <v>0</v>
      </c>
      <c r="G508">
        <v>0</v>
      </c>
      <c r="H508">
        <v>2</v>
      </c>
      <c r="I508">
        <v>1</v>
      </c>
      <c r="J508">
        <v>1</v>
      </c>
      <c r="K508" t="s">
        <v>90</v>
      </c>
      <c r="L508">
        <v>0</v>
      </c>
      <c r="M508">
        <v>0</v>
      </c>
      <c r="N508">
        <v>0</v>
      </c>
      <c r="O508">
        <v>0</v>
      </c>
      <c r="P508">
        <v>101</v>
      </c>
      <c r="Q508" t="str">
        <f t="shared" si="9"/>
        <v>23p31a1285@aect.dummy.in</v>
      </c>
    </row>
    <row r="509" spans="1:17" ht="14.4" x14ac:dyDescent="0.3">
      <c r="A509" t="s">
        <v>586</v>
      </c>
      <c r="B509" t="s">
        <v>515</v>
      </c>
      <c r="C509" t="s">
        <v>36</v>
      </c>
      <c r="D509">
        <v>4</v>
      </c>
      <c r="E509">
        <v>0</v>
      </c>
      <c r="F509">
        <v>1</v>
      </c>
      <c r="G509">
        <v>4</v>
      </c>
      <c r="H509">
        <v>5</v>
      </c>
      <c r="I509">
        <v>4</v>
      </c>
      <c r="J509">
        <v>4</v>
      </c>
      <c r="K509" t="s">
        <v>587</v>
      </c>
      <c r="L509">
        <v>54</v>
      </c>
      <c r="M509">
        <v>1883793</v>
      </c>
      <c r="N509">
        <v>43</v>
      </c>
      <c r="O509">
        <v>60</v>
      </c>
      <c r="P509">
        <v>353</v>
      </c>
      <c r="Q509" t="str">
        <f t="shared" si="9"/>
        <v>23p31a1289@aect.dummy.in</v>
      </c>
    </row>
    <row r="510" spans="1:17" ht="14.4" x14ac:dyDescent="0.3">
      <c r="A510" t="s">
        <v>588</v>
      </c>
      <c r="B510" t="s">
        <v>515</v>
      </c>
      <c r="C510" t="s">
        <v>36</v>
      </c>
      <c r="D510">
        <v>2</v>
      </c>
      <c r="E510">
        <v>0</v>
      </c>
      <c r="F510">
        <v>0</v>
      </c>
      <c r="G510">
        <v>3</v>
      </c>
      <c r="H510">
        <v>5</v>
      </c>
      <c r="I510">
        <v>3</v>
      </c>
      <c r="J510">
        <v>2</v>
      </c>
      <c r="K510" t="s">
        <v>583</v>
      </c>
      <c r="L510">
        <v>22</v>
      </c>
      <c r="M510">
        <v>3151199</v>
      </c>
      <c r="N510">
        <v>0</v>
      </c>
      <c r="O510">
        <v>0</v>
      </c>
      <c r="P510">
        <v>20</v>
      </c>
      <c r="Q510" t="str">
        <f t="shared" si="9"/>
        <v>23p31a1293@aect.dummy.in</v>
      </c>
    </row>
    <row r="511" spans="1:17" ht="14.4" x14ac:dyDescent="0.3">
      <c r="A511" t="s">
        <v>589</v>
      </c>
      <c r="B511" t="s">
        <v>515</v>
      </c>
      <c r="C511" t="s">
        <v>36</v>
      </c>
      <c r="D511">
        <v>0</v>
      </c>
      <c r="E511">
        <v>0</v>
      </c>
      <c r="F511">
        <v>0</v>
      </c>
      <c r="G511">
        <v>0</v>
      </c>
      <c r="H511">
        <v>0</v>
      </c>
      <c r="I511">
        <v>0</v>
      </c>
      <c r="J511">
        <v>0</v>
      </c>
      <c r="K511" t="s">
        <v>20</v>
      </c>
      <c r="L511">
        <v>0</v>
      </c>
      <c r="M511">
        <v>5000001</v>
      </c>
      <c r="N511">
        <v>0</v>
      </c>
      <c r="O511">
        <v>0</v>
      </c>
      <c r="P511">
        <v>0</v>
      </c>
      <c r="Q511" t="str">
        <f t="shared" si="9"/>
        <v>23p31a12a8@aect.dummy.in</v>
      </c>
    </row>
    <row r="512" spans="1:17" ht="14.4" x14ac:dyDescent="0.3">
      <c r="A512" t="s">
        <v>590</v>
      </c>
      <c r="B512" t="s">
        <v>515</v>
      </c>
      <c r="C512" t="s">
        <v>36</v>
      </c>
      <c r="D512">
        <v>0</v>
      </c>
      <c r="E512">
        <v>0</v>
      </c>
      <c r="F512">
        <v>2</v>
      </c>
      <c r="G512">
        <v>0</v>
      </c>
      <c r="H512">
        <v>0</v>
      </c>
      <c r="I512">
        <v>1</v>
      </c>
      <c r="J512">
        <v>1</v>
      </c>
      <c r="K512" t="s">
        <v>71</v>
      </c>
      <c r="L512">
        <v>0</v>
      </c>
      <c r="M512">
        <v>5000001</v>
      </c>
      <c r="N512">
        <v>0</v>
      </c>
      <c r="O512">
        <v>0</v>
      </c>
      <c r="P512">
        <v>48</v>
      </c>
      <c r="Q512" t="str">
        <f t="shared" si="9"/>
        <v>23p31a12a9@aect.dummy.in</v>
      </c>
    </row>
    <row r="513" spans="1:17" ht="14.4" x14ac:dyDescent="0.3">
      <c r="A513" t="s">
        <v>591</v>
      </c>
      <c r="B513" t="s">
        <v>515</v>
      </c>
      <c r="C513" t="s">
        <v>36</v>
      </c>
      <c r="D513">
        <v>1</v>
      </c>
      <c r="E513">
        <v>0</v>
      </c>
      <c r="F513">
        <v>0</v>
      </c>
      <c r="G513">
        <v>0</v>
      </c>
      <c r="H513">
        <v>4</v>
      </c>
      <c r="I513">
        <v>2</v>
      </c>
      <c r="J513">
        <v>2</v>
      </c>
      <c r="K513" t="s">
        <v>67</v>
      </c>
      <c r="L513">
        <v>20</v>
      </c>
      <c r="M513">
        <v>3307411</v>
      </c>
      <c r="N513">
        <v>0</v>
      </c>
      <c r="O513">
        <v>0</v>
      </c>
      <c r="P513">
        <v>21</v>
      </c>
      <c r="Q513" t="str">
        <f t="shared" si="9"/>
        <v>23p31a12b5@aect.dummy.in</v>
      </c>
    </row>
    <row r="514" spans="1:17" ht="14.4" x14ac:dyDescent="0.3">
      <c r="A514" t="s">
        <v>592</v>
      </c>
      <c r="B514" t="s">
        <v>515</v>
      </c>
      <c r="C514" t="s">
        <v>36</v>
      </c>
      <c r="D514">
        <v>1</v>
      </c>
      <c r="E514">
        <v>0</v>
      </c>
      <c r="F514">
        <v>3</v>
      </c>
      <c r="G514">
        <v>0</v>
      </c>
      <c r="H514">
        <v>4</v>
      </c>
      <c r="I514">
        <v>3</v>
      </c>
      <c r="J514">
        <v>3</v>
      </c>
      <c r="K514" t="s">
        <v>120</v>
      </c>
      <c r="L514">
        <v>36</v>
      </c>
      <c r="M514">
        <v>2420866</v>
      </c>
      <c r="N514">
        <v>4</v>
      </c>
      <c r="O514">
        <v>6</v>
      </c>
      <c r="P514">
        <v>338</v>
      </c>
      <c r="Q514" t="str">
        <f t="shared" si="9"/>
        <v>23p31a12b7@aect.dummy.in</v>
      </c>
    </row>
    <row r="515" spans="1:17" ht="14.4" x14ac:dyDescent="0.3">
      <c r="A515" t="s">
        <v>593</v>
      </c>
      <c r="B515" t="s">
        <v>515</v>
      </c>
      <c r="C515" t="s">
        <v>36</v>
      </c>
      <c r="D515">
        <v>0</v>
      </c>
      <c r="E515">
        <v>0</v>
      </c>
      <c r="F515">
        <v>1</v>
      </c>
      <c r="G515">
        <v>0</v>
      </c>
      <c r="H515">
        <v>0</v>
      </c>
      <c r="I515">
        <v>1</v>
      </c>
      <c r="J515">
        <v>0</v>
      </c>
      <c r="K515" t="s">
        <v>20</v>
      </c>
      <c r="L515">
        <v>13</v>
      </c>
      <c r="M515">
        <v>4036921</v>
      </c>
      <c r="N515">
        <v>2</v>
      </c>
      <c r="O515">
        <v>4</v>
      </c>
      <c r="P515">
        <v>91</v>
      </c>
      <c r="Q515" t="str">
        <f t="shared" si="9"/>
        <v>23p31a12c5@aect.dummy.in</v>
      </c>
    </row>
    <row r="516" spans="1:17" ht="14.4" x14ac:dyDescent="0.3">
      <c r="A516" t="s">
        <v>594</v>
      </c>
      <c r="B516" t="s">
        <v>515</v>
      </c>
      <c r="C516" t="s">
        <v>36</v>
      </c>
      <c r="D516">
        <v>1</v>
      </c>
      <c r="E516">
        <v>0</v>
      </c>
      <c r="F516">
        <v>0</v>
      </c>
      <c r="G516">
        <v>4</v>
      </c>
      <c r="H516">
        <v>4</v>
      </c>
      <c r="I516">
        <v>3</v>
      </c>
      <c r="J516">
        <v>2</v>
      </c>
      <c r="K516" t="s">
        <v>583</v>
      </c>
      <c r="L516">
        <v>20</v>
      </c>
      <c r="M516">
        <v>3300356</v>
      </c>
      <c r="N516">
        <v>49</v>
      </c>
      <c r="O516">
        <v>68</v>
      </c>
      <c r="P516">
        <v>261</v>
      </c>
      <c r="Q516" t="str">
        <f t="shared" si="9"/>
        <v>23p31a12d0@aect.dummy.in</v>
      </c>
    </row>
    <row r="517" spans="1:17" ht="14.4" x14ac:dyDescent="0.3">
      <c r="A517" t="s">
        <v>595</v>
      </c>
      <c r="B517" t="s">
        <v>515</v>
      </c>
      <c r="C517" t="s">
        <v>36</v>
      </c>
      <c r="D517">
        <v>3</v>
      </c>
      <c r="E517">
        <v>0</v>
      </c>
      <c r="F517">
        <v>2</v>
      </c>
      <c r="G517">
        <v>0</v>
      </c>
      <c r="H517">
        <v>4</v>
      </c>
      <c r="I517">
        <v>3</v>
      </c>
      <c r="J517">
        <v>2</v>
      </c>
      <c r="K517" t="s">
        <v>67</v>
      </c>
      <c r="L517">
        <v>73</v>
      </c>
      <c r="M517">
        <v>1531684</v>
      </c>
      <c r="N517">
        <v>67</v>
      </c>
      <c r="O517">
        <v>125</v>
      </c>
      <c r="P517">
        <v>314</v>
      </c>
      <c r="Q517" t="str">
        <f t="shared" si="9"/>
        <v>23p31a4202@aect.dummy.in</v>
      </c>
    </row>
    <row r="518" spans="1:17" ht="14.4" x14ac:dyDescent="0.3">
      <c r="A518" t="s">
        <v>596</v>
      </c>
      <c r="B518" t="s">
        <v>515</v>
      </c>
      <c r="C518" t="s">
        <v>36</v>
      </c>
      <c r="D518">
        <v>3</v>
      </c>
      <c r="E518">
        <v>3</v>
      </c>
      <c r="F518">
        <v>2</v>
      </c>
      <c r="G518">
        <v>3</v>
      </c>
      <c r="H518">
        <v>4</v>
      </c>
      <c r="I518">
        <v>6</v>
      </c>
      <c r="J518">
        <v>2</v>
      </c>
      <c r="K518" t="s">
        <v>67</v>
      </c>
      <c r="L518">
        <v>179</v>
      </c>
      <c r="M518">
        <v>691923</v>
      </c>
      <c r="N518">
        <v>208</v>
      </c>
      <c r="O518">
        <v>334</v>
      </c>
      <c r="P518">
        <v>716</v>
      </c>
      <c r="Q518" t="str">
        <f t="shared" si="9"/>
        <v>23p31a4203@aect.dummy.in</v>
      </c>
    </row>
    <row r="519" spans="1:17" ht="14.4" x14ac:dyDescent="0.3">
      <c r="A519" t="s">
        <v>597</v>
      </c>
      <c r="B519" t="s">
        <v>515</v>
      </c>
      <c r="C519" t="s">
        <v>36</v>
      </c>
      <c r="D519">
        <v>0</v>
      </c>
      <c r="E519">
        <v>0</v>
      </c>
      <c r="F519">
        <v>0</v>
      </c>
      <c r="G519">
        <v>0</v>
      </c>
      <c r="H519">
        <v>0</v>
      </c>
      <c r="I519">
        <v>0</v>
      </c>
      <c r="J519">
        <v>0</v>
      </c>
      <c r="K519" t="s">
        <v>20</v>
      </c>
      <c r="L519">
        <v>9</v>
      </c>
      <c r="M519">
        <v>4656154</v>
      </c>
      <c r="N519">
        <v>0</v>
      </c>
      <c r="O519">
        <v>0</v>
      </c>
      <c r="P519">
        <v>0</v>
      </c>
      <c r="Q519" t="str">
        <f t="shared" si="9"/>
        <v>23p31a4205@aect.dummy.in</v>
      </c>
    </row>
    <row r="520" spans="1:17" ht="14.4" x14ac:dyDescent="0.3">
      <c r="A520" t="s">
        <v>598</v>
      </c>
      <c r="B520" t="s">
        <v>515</v>
      </c>
      <c r="C520" t="s">
        <v>36</v>
      </c>
      <c r="D520">
        <v>4</v>
      </c>
      <c r="E520">
        <v>0</v>
      </c>
      <c r="F520">
        <v>0</v>
      </c>
      <c r="G520">
        <v>1</v>
      </c>
      <c r="H520">
        <v>4</v>
      </c>
      <c r="I520">
        <v>3</v>
      </c>
      <c r="J520">
        <v>2</v>
      </c>
      <c r="K520" t="s">
        <v>67</v>
      </c>
      <c r="L520">
        <v>134</v>
      </c>
      <c r="M520">
        <v>931909</v>
      </c>
      <c r="N520">
        <v>0</v>
      </c>
      <c r="O520">
        <v>0</v>
      </c>
      <c r="P520">
        <v>778</v>
      </c>
      <c r="Q520" t="str">
        <f t="shared" si="9"/>
        <v>23p31a4207@aect.dummy.in</v>
      </c>
    </row>
    <row r="521" spans="1:17" ht="14.4" x14ac:dyDescent="0.3">
      <c r="A521" t="s">
        <v>599</v>
      </c>
      <c r="B521" t="s">
        <v>515</v>
      </c>
      <c r="C521" t="s">
        <v>36</v>
      </c>
      <c r="D521">
        <v>4</v>
      </c>
      <c r="E521">
        <v>0</v>
      </c>
      <c r="F521">
        <v>1</v>
      </c>
      <c r="G521">
        <v>2</v>
      </c>
      <c r="H521">
        <v>5</v>
      </c>
      <c r="I521">
        <v>4</v>
      </c>
      <c r="J521">
        <v>2</v>
      </c>
      <c r="K521" t="s">
        <v>67</v>
      </c>
      <c r="L521">
        <v>40</v>
      </c>
      <c r="M521">
        <v>2273836</v>
      </c>
      <c r="N521">
        <v>1</v>
      </c>
      <c r="O521">
        <v>2</v>
      </c>
      <c r="P521">
        <v>100</v>
      </c>
      <c r="Q521" t="str">
        <f t="shared" si="9"/>
        <v>23p31a4209@aect.dummy.in</v>
      </c>
    </row>
    <row r="522" spans="1:17" ht="14.4" x14ac:dyDescent="0.3">
      <c r="A522" t="s">
        <v>600</v>
      </c>
      <c r="B522" t="s">
        <v>515</v>
      </c>
      <c r="C522" t="s">
        <v>36</v>
      </c>
      <c r="D522">
        <v>3</v>
      </c>
      <c r="E522">
        <v>0</v>
      </c>
      <c r="F522">
        <v>2</v>
      </c>
      <c r="G522">
        <v>2</v>
      </c>
      <c r="H522">
        <v>4</v>
      </c>
      <c r="I522">
        <v>4</v>
      </c>
      <c r="J522">
        <v>3</v>
      </c>
      <c r="K522" t="s">
        <v>100</v>
      </c>
      <c r="L522">
        <v>184</v>
      </c>
      <c r="M522">
        <v>671750</v>
      </c>
      <c r="N522">
        <v>86</v>
      </c>
      <c r="O522">
        <v>193</v>
      </c>
      <c r="P522">
        <v>421</v>
      </c>
      <c r="Q522" t="str">
        <f t="shared" si="9"/>
        <v>23p31a4210@aect.dummy.in</v>
      </c>
    </row>
    <row r="523" spans="1:17" ht="14.4" x14ac:dyDescent="0.3">
      <c r="A523" t="s">
        <v>601</v>
      </c>
      <c r="B523" t="s">
        <v>515</v>
      </c>
      <c r="C523" t="s">
        <v>36</v>
      </c>
      <c r="D523">
        <v>5</v>
      </c>
      <c r="E523">
        <v>5</v>
      </c>
      <c r="F523">
        <v>5</v>
      </c>
      <c r="G523">
        <v>5</v>
      </c>
      <c r="H523">
        <v>5</v>
      </c>
      <c r="I523">
        <v>6</v>
      </c>
      <c r="J523">
        <v>2</v>
      </c>
      <c r="K523" t="s">
        <v>69</v>
      </c>
      <c r="L523">
        <v>454</v>
      </c>
      <c r="M523">
        <v>178069</v>
      </c>
      <c r="N523">
        <v>280</v>
      </c>
      <c r="O523">
        <v>816</v>
      </c>
      <c r="P523">
        <v>176</v>
      </c>
      <c r="Q523" t="str">
        <f t="shared" si="9"/>
        <v>23p31a4211@aect.dummy.in</v>
      </c>
    </row>
    <row r="524" spans="1:17" ht="14.4" x14ac:dyDescent="0.3">
      <c r="A524" t="s">
        <v>602</v>
      </c>
      <c r="B524" t="s">
        <v>515</v>
      </c>
      <c r="C524" t="s">
        <v>36</v>
      </c>
      <c r="D524">
        <v>3</v>
      </c>
      <c r="E524">
        <v>0</v>
      </c>
      <c r="F524">
        <v>0</v>
      </c>
      <c r="G524">
        <v>0</v>
      </c>
      <c r="H524">
        <v>5</v>
      </c>
      <c r="I524">
        <v>2</v>
      </c>
      <c r="J524">
        <v>2</v>
      </c>
      <c r="K524" t="s">
        <v>67</v>
      </c>
      <c r="L524">
        <v>25</v>
      </c>
      <c r="M524">
        <v>2943815</v>
      </c>
      <c r="N524">
        <v>2</v>
      </c>
      <c r="O524">
        <v>6</v>
      </c>
      <c r="P524">
        <v>537</v>
      </c>
      <c r="Q524" t="str">
        <f t="shared" si="9"/>
        <v>23p31a4213@aect.dummy.in</v>
      </c>
    </row>
    <row r="525" spans="1:17" ht="14.4" x14ac:dyDescent="0.3">
      <c r="A525" t="s">
        <v>603</v>
      </c>
      <c r="B525" t="s">
        <v>515</v>
      </c>
      <c r="C525" t="s">
        <v>36</v>
      </c>
      <c r="D525">
        <v>1</v>
      </c>
      <c r="E525">
        <v>0</v>
      </c>
      <c r="F525">
        <v>0</v>
      </c>
      <c r="G525">
        <v>0</v>
      </c>
      <c r="H525">
        <v>3</v>
      </c>
      <c r="I525">
        <v>2</v>
      </c>
      <c r="J525">
        <v>2</v>
      </c>
      <c r="K525" t="s">
        <v>67</v>
      </c>
      <c r="L525">
        <v>28</v>
      </c>
      <c r="M525">
        <v>2779956</v>
      </c>
      <c r="N525">
        <v>0</v>
      </c>
      <c r="O525">
        <v>0</v>
      </c>
      <c r="P525">
        <v>537</v>
      </c>
      <c r="Q525" t="str">
        <f t="shared" si="9"/>
        <v>23p31a4214@aect.dummy.in</v>
      </c>
    </row>
    <row r="526" spans="1:17" ht="14.4" x14ac:dyDescent="0.3">
      <c r="A526" t="s">
        <v>604</v>
      </c>
      <c r="B526" t="s">
        <v>515</v>
      </c>
      <c r="C526" t="s">
        <v>36</v>
      </c>
      <c r="D526">
        <v>0</v>
      </c>
      <c r="E526">
        <v>0</v>
      </c>
      <c r="F526">
        <v>2</v>
      </c>
      <c r="G526">
        <v>3</v>
      </c>
      <c r="H526">
        <v>4</v>
      </c>
      <c r="I526">
        <v>4</v>
      </c>
      <c r="J526">
        <v>1</v>
      </c>
      <c r="K526" t="s">
        <v>71</v>
      </c>
      <c r="L526">
        <v>77</v>
      </c>
      <c r="M526">
        <v>1472251</v>
      </c>
      <c r="N526">
        <v>124</v>
      </c>
      <c r="O526">
        <v>190</v>
      </c>
      <c r="P526">
        <v>726</v>
      </c>
      <c r="Q526" t="str">
        <f t="shared" si="9"/>
        <v>23p31a4215@aect.dummy.in</v>
      </c>
    </row>
    <row r="527" spans="1:17" ht="14.4" x14ac:dyDescent="0.3">
      <c r="A527" t="s">
        <v>605</v>
      </c>
      <c r="B527" t="s">
        <v>515</v>
      </c>
      <c r="C527" t="s">
        <v>36</v>
      </c>
      <c r="D527">
        <v>3</v>
      </c>
      <c r="E527">
        <v>0</v>
      </c>
      <c r="F527">
        <v>0</v>
      </c>
      <c r="G527">
        <v>3</v>
      </c>
      <c r="H527">
        <v>5</v>
      </c>
      <c r="I527">
        <v>4</v>
      </c>
      <c r="J527">
        <v>2</v>
      </c>
      <c r="K527" t="s">
        <v>67</v>
      </c>
      <c r="L527">
        <v>87</v>
      </c>
      <c r="M527">
        <v>1342648</v>
      </c>
      <c r="N527">
        <v>9</v>
      </c>
      <c r="O527">
        <v>16</v>
      </c>
      <c r="P527">
        <v>301</v>
      </c>
      <c r="Q527" t="str">
        <f t="shared" si="9"/>
        <v>23p31a4216@aect.dummy.in</v>
      </c>
    </row>
    <row r="528" spans="1:17" ht="14.4" x14ac:dyDescent="0.3">
      <c r="A528" t="s">
        <v>606</v>
      </c>
      <c r="B528" t="s">
        <v>515</v>
      </c>
      <c r="C528" t="s">
        <v>36</v>
      </c>
      <c r="D528">
        <v>4</v>
      </c>
      <c r="E528">
        <v>0</v>
      </c>
      <c r="F528">
        <v>4</v>
      </c>
      <c r="G528">
        <v>5</v>
      </c>
      <c r="H528">
        <v>4</v>
      </c>
      <c r="I528">
        <v>5</v>
      </c>
      <c r="J528">
        <v>3</v>
      </c>
      <c r="K528" t="s">
        <v>100</v>
      </c>
      <c r="L528">
        <v>70</v>
      </c>
      <c r="M528">
        <v>1578327</v>
      </c>
      <c r="N528">
        <v>214</v>
      </c>
      <c r="O528">
        <v>364</v>
      </c>
      <c r="P528">
        <v>473</v>
      </c>
      <c r="Q528" t="str">
        <f t="shared" si="9"/>
        <v>23p31a4217@aect.dummy.in</v>
      </c>
    </row>
    <row r="529" spans="1:17" ht="14.4" x14ac:dyDescent="0.3">
      <c r="A529" t="s">
        <v>607</v>
      </c>
      <c r="B529" t="s">
        <v>515</v>
      </c>
      <c r="C529" t="s">
        <v>36</v>
      </c>
      <c r="D529">
        <v>4</v>
      </c>
      <c r="E529">
        <v>0</v>
      </c>
      <c r="F529">
        <v>3</v>
      </c>
      <c r="G529">
        <v>2</v>
      </c>
      <c r="H529">
        <v>5</v>
      </c>
      <c r="I529">
        <v>5</v>
      </c>
      <c r="J529">
        <v>2</v>
      </c>
      <c r="K529" t="s">
        <v>67</v>
      </c>
      <c r="L529">
        <v>109</v>
      </c>
      <c r="M529">
        <v>1121025</v>
      </c>
      <c r="N529">
        <v>56</v>
      </c>
      <c r="O529">
        <v>102</v>
      </c>
      <c r="P529">
        <v>351</v>
      </c>
      <c r="Q529" t="str">
        <f t="shared" si="9"/>
        <v>23p31a4218@aect.dummy.in</v>
      </c>
    </row>
    <row r="530" spans="1:17" ht="14.4" x14ac:dyDescent="0.3">
      <c r="A530" t="s">
        <v>608</v>
      </c>
      <c r="B530" t="s">
        <v>515</v>
      </c>
      <c r="C530" t="s">
        <v>36</v>
      </c>
      <c r="D530">
        <v>4</v>
      </c>
      <c r="E530">
        <v>0</v>
      </c>
      <c r="F530">
        <v>3</v>
      </c>
      <c r="G530">
        <v>4</v>
      </c>
      <c r="H530">
        <v>4</v>
      </c>
      <c r="I530">
        <v>4</v>
      </c>
      <c r="J530">
        <v>2</v>
      </c>
      <c r="K530" t="s">
        <v>67</v>
      </c>
      <c r="L530">
        <v>0</v>
      </c>
      <c r="M530">
        <v>5000001</v>
      </c>
      <c r="N530">
        <v>59</v>
      </c>
      <c r="O530">
        <v>111</v>
      </c>
      <c r="P530">
        <v>164</v>
      </c>
      <c r="Q530" t="str">
        <f t="shared" si="9"/>
        <v>23p31a4220@aect.dummy.in</v>
      </c>
    </row>
    <row r="531" spans="1:17" ht="14.4" x14ac:dyDescent="0.3">
      <c r="A531" t="s">
        <v>609</v>
      </c>
      <c r="B531" t="s">
        <v>515</v>
      </c>
      <c r="C531" t="s">
        <v>36</v>
      </c>
      <c r="D531">
        <v>0</v>
      </c>
      <c r="E531">
        <v>0</v>
      </c>
      <c r="F531">
        <v>0</v>
      </c>
      <c r="G531">
        <v>0</v>
      </c>
      <c r="H531">
        <v>0</v>
      </c>
      <c r="I531">
        <v>0</v>
      </c>
      <c r="J531">
        <v>0</v>
      </c>
      <c r="K531" t="s">
        <v>20</v>
      </c>
      <c r="L531">
        <v>60</v>
      </c>
      <c r="M531">
        <v>1755135</v>
      </c>
      <c r="N531">
        <v>0</v>
      </c>
      <c r="O531">
        <v>0</v>
      </c>
      <c r="P531">
        <v>222</v>
      </c>
      <c r="Q531" t="str">
        <f t="shared" si="9"/>
        <v>23p31a4221@aect.dummy.in</v>
      </c>
    </row>
    <row r="532" spans="1:17" ht="14.4" x14ac:dyDescent="0.3">
      <c r="A532" t="s">
        <v>610</v>
      </c>
      <c r="B532" t="s">
        <v>515</v>
      </c>
      <c r="C532" t="s">
        <v>36</v>
      </c>
      <c r="D532">
        <v>2</v>
      </c>
      <c r="E532">
        <v>0</v>
      </c>
      <c r="F532">
        <v>0</v>
      </c>
      <c r="G532">
        <v>1</v>
      </c>
      <c r="H532">
        <v>4</v>
      </c>
      <c r="I532">
        <v>3</v>
      </c>
      <c r="J532">
        <v>2</v>
      </c>
      <c r="K532" t="s">
        <v>67</v>
      </c>
      <c r="L532">
        <v>347</v>
      </c>
      <c r="M532">
        <v>286199</v>
      </c>
      <c r="N532">
        <v>147</v>
      </c>
      <c r="O532">
        <v>406</v>
      </c>
      <c r="P532">
        <v>85</v>
      </c>
      <c r="Q532" t="str">
        <f t="shared" si="9"/>
        <v>23p31a4222@aect.dummy.in</v>
      </c>
    </row>
    <row r="533" spans="1:17" ht="14.4" x14ac:dyDescent="0.3">
      <c r="A533" t="s">
        <v>611</v>
      </c>
      <c r="B533" t="s">
        <v>515</v>
      </c>
      <c r="C533" t="s">
        <v>36</v>
      </c>
      <c r="D533">
        <v>4</v>
      </c>
      <c r="E533">
        <v>0</v>
      </c>
      <c r="F533">
        <v>0</v>
      </c>
      <c r="G533">
        <v>0</v>
      </c>
      <c r="H533">
        <v>3</v>
      </c>
      <c r="I533">
        <v>2</v>
      </c>
      <c r="J533">
        <v>1</v>
      </c>
      <c r="K533" t="s">
        <v>71</v>
      </c>
      <c r="L533">
        <v>10</v>
      </c>
      <c r="M533">
        <v>4474893</v>
      </c>
      <c r="N533">
        <v>2</v>
      </c>
      <c r="O533">
        <v>6</v>
      </c>
      <c r="P533">
        <v>218</v>
      </c>
      <c r="Q533" t="str">
        <f t="shared" si="9"/>
        <v>23p31a4223@aect.dummy.in</v>
      </c>
    </row>
    <row r="534" spans="1:17" ht="14.4" x14ac:dyDescent="0.3">
      <c r="A534" t="s">
        <v>612</v>
      </c>
      <c r="B534" t="s">
        <v>515</v>
      </c>
      <c r="C534" t="s">
        <v>36</v>
      </c>
      <c r="D534">
        <v>3</v>
      </c>
      <c r="E534">
        <v>0</v>
      </c>
      <c r="F534">
        <v>1</v>
      </c>
      <c r="G534">
        <v>1</v>
      </c>
      <c r="H534">
        <v>5</v>
      </c>
      <c r="I534">
        <v>5</v>
      </c>
      <c r="J534">
        <v>3</v>
      </c>
      <c r="K534" t="s">
        <v>100</v>
      </c>
      <c r="L534">
        <v>96</v>
      </c>
      <c r="M534">
        <v>1246864</v>
      </c>
      <c r="N534">
        <v>24</v>
      </c>
      <c r="O534">
        <v>37</v>
      </c>
      <c r="P534">
        <v>452</v>
      </c>
      <c r="Q534" t="str">
        <f t="shared" si="9"/>
        <v>23p31a4224@aect.dummy.in</v>
      </c>
    </row>
    <row r="535" spans="1:17" ht="14.4" x14ac:dyDescent="0.3">
      <c r="A535" t="s">
        <v>613</v>
      </c>
      <c r="B535" t="s">
        <v>515</v>
      </c>
      <c r="C535" t="s">
        <v>36</v>
      </c>
      <c r="D535">
        <v>3</v>
      </c>
      <c r="E535">
        <v>3</v>
      </c>
      <c r="F535">
        <v>2</v>
      </c>
      <c r="G535">
        <v>3</v>
      </c>
      <c r="H535">
        <v>5</v>
      </c>
      <c r="I535">
        <v>6</v>
      </c>
      <c r="J535">
        <v>2</v>
      </c>
      <c r="K535" t="s">
        <v>67</v>
      </c>
      <c r="L535">
        <v>173</v>
      </c>
      <c r="M535">
        <v>717935</v>
      </c>
      <c r="N535">
        <v>156</v>
      </c>
      <c r="O535">
        <v>268</v>
      </c>
      <c r="P535">
        <v>607</v>
      </c>
      <c r="Q535" t="str">
        <f t="shared" si="9"/>
        <v>23p31a4225@aect.dummy.in</v>
      </c>
    </row>
    <row r="536" spans="1:17" ht="14.4" x14ac:dyDescent="0.3">
      <c r="A536" t="s">
        <v>614</v>
      </c>
      <c r="B536" t="s">
        <v>515</v>
      </c>
      <c r="C536" t="s">
        <v>36</v>
      </c>
      <c r="D536">
        <v>4</v>
      </c>
      <c r="E536">
        <v>3</v>
      </c>
      <c r="F536">
        <v>0</v>
      </c>
      <c r="G536">
        <v>3</v>
      </c>
      <c r="H536">
        <v>5</v>
      </c>
      <c r="I536">
        <v>5</v>
      </c>
      <c r="J536">
        <v>3</v>
      </c>
      <c r="K536" t="s">
        <v>120</v>
      </c>
      <c r="L536">
        <v>315</v>
      </c>
      <c r="M536">
        <v>333233</v>
      </c>
      <c r="N536">
        <v>194</v>
      </c>
      <c r="O536">
        <v>456</v>
      </c>
      <c r="P536">
        <v>288</v>
      </c>
      <c r="Q536" t="str">
        <f t="shared" si="9"/>
        <v>23p31a4227@aect.dummy.in</v>
      </c>
    </row>
    <row r="537" spans="1:17" ht="14.4" x14ac:dyDescent="0.3">
      <c r="A537" t="s">
        <v>615</v>
      </c>
      <c r="B537" t="s">
        <v>515</v>
      </c>
      <c r="C537" t="s">
        <v>36</v>
      </c>
      <c r="D537">
        <v>4</v>
      </c>
      <c r="E537">
        <v>4</v>
      </c>
      <c r="F537">
        <v>2</v>
      </c>
      <c r="G537">
        <v>3</v>
      </c>
      <c r="H537">
        <v>5</v>
      </c>
      <c r="I537">
        <v>6</v>
      </c>
      <c r="J537">
        <v>2</v>
      </c>
      <c r="K537" t="s">
        <v>67</v>
      </c>
      <c r="L537">
        <v>388</v>
      </c>
      <c r="M537">
        <v>237685</v>
      </c>
      <c r="N537">
        <v>226</v>
      </c>
      <c r="O537">
        <v>462</v>
      </c>
      <c r="P537">
        <v>632</v>
      </c>
      <c r="Q537" t="str">
        <f t="shared" si="9"/>
        <v>23p31a4229@aect.dummy.in</v>
      </c>
    </row>
    <row r="538" spans="1:17" ht="14.4" x14ac:dyDescent="0.3">
      <c r="A538" t="s">
        <v>616</v>
      </c>
      <c r="B538" t="s">
        <v>515</v>
      </c>
      <c r="C538" t="s">
        <v>36</v>
      </c>
      <c r="D538">
        <v>3</v>
      </c>
      <c r="E538">
        <v>0</v>
      </c>
      <c r="F538">
        <v>0</v>
      </c>
      <c r="G538">
        <v>0</v>
      </c>
      <c r="H538">
        <v>4</v>
      </c>
      <c r="I538">
        <v>3</v>
      </c>
      <c r="J538">
        <v>1</v>
      </c>
      <c r="K538" t="s">
        <v>71</v>
      </c>
      <c r="L538">
        <v>48</v>
      </c>
      <c r="M538">
        <v>2035959</v>
      </c>
      <c r="N538">
        <v>1</v>
      </c>
      <c r="O538">
        <v>2</v>
      </c>
      <c r="P538">
        <v>126</v>
      </c>
      <c r="Q538" t="str">
        <f t="shared" si="9"/>
        <v>23p31a4230@aect.dummy.in</v>
      </c>
    </row>
    <row r="539" spans="1:17" ht="14.4" x14ac:dyDescent="0.3">
      <c r="A539" t="s">
        <v>617</v>
      </c>
      <c r="B539" t="s">
        <v>515</v>
      </c>
      <c r="C539" t="s">
        <v>36</v>
      </c>
      <c r="D539">
        <v>3</v>
      </c>
      <c r="E539">
        <v>0</v>
      </c>
      <c r="F539">
        <v>0</v>
      </c>
      <c r="G539">
        <v>1</v>
      </c>
      <c r="H539">
        <v>0</v>
      </c>
      <c r="I539">
        <v>2</v>
      </c>
      <c r="J539">
        <v>0</v>
      </c>
      <c r="K539" t="s">
        <v>20</v>
      </c>
      <c r="L539">
        <v>45</v>
      </c>
      <c r="M539">
        <v>2119965</v>
      </c>
      <c r="N539">
        <v>13</v>
      </c>
      <c r="O539">
        <v>25</v>
      </c>
      <c r="P539">
        <v>717</v>
      </c>
      <c r="Q539" t="str">
        <f t="shared" si="9"/>
        <v>23p31a4231@aect.dummy.in</v>
      </c>
    </row>
    <row r="540" spans="1:17" ht="14.4" x14ac:dyDescent="0.3">
      <c r="A540" t="s">
        <v>618</v>
      </c>
      <c r="B540" t="s">
        <v>515</v>
      </c>
      <c r="C540" t="s">
        <v>36</v>
      </c>
      <c r="D540">
        <v>1</v>
      </c>
      <c r="E540">
        <v>0</v>
      </c>
      <c r="F540">
        <v>0</v>
      </c>
      <c r="G540">
        <v>0</v>
      </c>
      <c r="H540">
        <v>4</v>
      </c>
      <c r="I540">
        <v>2</v>
      </c>
      <c r="J540">
        <v>2</v>
      </c>
      <c r="K540" t="s">
        <v>67</v>
      </c>
      <c r="L540">
        <v>57</v>
      </c>
      <c r="M540">
        <v>1816271</v>
      </c>
      <c r="N540">
        <v>0</v>
      </c>
      <c r="O540">
        <v>0</v>
      </c>
      <c r="P540">
        <v>421</v>
      </c>
      <c r="Q540" t="str">
        <f t="shared" si="9"/>
        <v>23p31a4232@aect.dummy.in</v>
      </c>
    </row>
    <row r="541" spans="1:17" ht="14.4" x14ac:dyDescent="0.3">
      <c r="A541" t="s">
        <v>619</v>
      </c>
      <c r="B541" t="s">
        <v>515</v>
      </c>
      <c r="C541" t="s">
        <v>36</v>
      </c>
      <c r="D541">
        <v>3</v>
      </c>
      <c r="E541">
        <v>0</v>
      </c>
      <c r="F541">
        <v>0</v>
      </c>
      <c r="G541">
        <v>1</v>
      </c>
      <c r="H541">
        <v>4</v>
      </c>
      <c r="I541">
        <v>4</v>
      </c>
      <c r="J541">
        <v>2</v>
      </c>
      <c r="K541" t="s">
        <v>67</v>
      </c>
      <c r="L541">
        <v>70</v>
      </c>
      <c r="M541">
        <v>1577273</v>
      </c>
      <c r="N541">
        <v>136</v>
      </c>
      <c r="O541">
        <v>202</v>
      </c>
      <c r="P541">
        <v>684</v>
      </c>
      <c r="Q541" t="str">
        <f t="shared" si="9"/>
        <v>23p31a4235@aect.dummy.in</v>
      </c>
    </row>
    <row r="542" spans="1:17" ht="14.4" x14ac:dyDescent="0.3">
      <c r="A542" t="s">
        <v>620</v>
      </c>
      <c r="B542" t="s">
        <v>515</v>
      </c>
      <c r="C542" t="s">
        <v>36</v>
      </c>
      <c r="D542">
        <v>4</v>
      </c>
      <c r="E542">
        <v>0</v>
      </c>
      <c r="F542">
        <v>0</v>
      </c>
      <c r="G542">
        <v>0</v>
      </c>
      <c r="H542">
        <v>4</v>
      </c>
      <c r="I542">
        <v>3</v>
      </c>
      <c r="J542">
        <v>2</v>
      </c>
      <c r="K542" t="s">
        <v>67</v>
      </c>
      <c r="L542">
        <v>118</v>
      </c>
      <c r="M542">
        <v>1047335</v>
      </c>
      <c r="N542">
        <v>2</v>
      </c>
      <c r="O542">
        <v>4</v>
      </c>
      <c r="P542">
        <v>266</v>
      </c>
      <c r="Q542" t="str">
        <f t="shared" si="9"/>
        <v>23p31a4236@aect.dummy.in</v>
      </c>
    </row>
    <row r="543" spans="1:17" ht="14.4" x14ac:dyDescent="0.3">
      <c r="A543" t="s">
        <v>621</v>
      </c>
      <c r="B543" t="s">
        <v>515</v>
      </c>
      <c r="C543" t="s">
        <v>36</v>
      </c>
      <c r="D543">
        <v>3</v>
      </c>
      <c r="E543">
        <v>0</v>
      </c>
      <c r="F543">
        <v>0</v>
      </c>
      <c r="G543">
        <v>2</v>
      </c>
      <c r="H543">
        <v>3</v>
      </c>
      <c r="I543">
        <v>3</v>
      </c>
      <c r="J543">
        <v>2</v>
      </c>
      <c r="K543" t="s">
        <v>67</v>
      </c>
      <c r="L543">
        <v>20</v>
      </c>
      <c r="M543">
        <v>3298982</v>
      </c>
      <c r="N543">
        <v>10</v>
      </c>
      <c r="O543">
        <v>17</v>
      </c>
      <c r="P543">
        <v>107</v>
      </c>
      <c r="Q543" t="str">
        <f t="shared" si="9"/>
        <v>23p31a4237@aect.dummy.in</v>
      </c>
    </row>
    <row r="544" spans="1:17" ht="14.4" x14ac:dyDescent="0.3">
      <c r="A544" t="s">
        <v>622</v>
      </c>
      <c r="B544" t="s">
        <v>515</v>
      </c>
      <c r="C544" t="s">
        <v>36</v>
      </c>
      <c r="D544">
        <v>3</v>
      </c>
      <c r="E544">
        <v>0</v>
      </c>
      <c r="F544">
        <v>2</v>
      </c>
      <c r="G544">
        <v>3</v>
      </c>
      <c r="H544">
        <v>5</v>
      </c>
      <c r="I544">
        <v>5</v>
      </c>
      <c r="J544">
        <v>2</v>
      </c>
      <c r="K544" t="s">
        <v>67</v>
      </c>
      <c r="L544">
        <v>98</v>
      </c>
      <c r="M544">
        <v>1227256</v>
      </c>
      <c r="N544">
        <v>59</v>
      </c>
      <c r="O544">
        <v>88</v>
      </c>
      <c r="P544">
        <v>7</v>
      </c>
      <c r="Q544" t="str">
        <f t="shared" si="9"/>
        <v>23p31a4238@aect.dummy.in</v>
      </c>
    </row>
    <row r="545" spans="1:17" ht="14.4" x14ac:dyDescent="0.3">
      <c r="A545" t="s">
        <v>623</v>
      </c>
      <c r="B545" t="s">
        <v>515</v>
      </c>
      <c r="C545" t="s">
        <v>36</v>
      </c>
      <c r="D545">
        <v>3</v>
      </c>
      <c r="E545">
        <v>0</v>
      </c>
      <c r="F545">
        <v>0</v>
      </c>
      <c r="G545">
        <v>0</v>
      </c>
      <c r="H545">
        <v>3</v>
      </c>
      <c r="I545">
        <v>2</v>
      </c>
      <c r="J545">
        <v>2</v>
      </c>
      <c r="K545" t="s">
        <v>67</v>
      </c>
      <c r="L545">
        <v>11</v>
      </c>
      <c r="M545">
        <v>4312045</v>
      </c>
      <c r="N545">
        <v>1</v>
      </c>
      <c r="O545">
        <v>4</v>
      </c>
      <c r="P545">
        <v>39</v>
      </c>
      <c r="Q545" t="str">
        <f t="shared" si="9"/>
        <v>23p31a4240@aect.dummy.in</v>
      </c>
    </row>
    <row r="546" spans="1:17" ht="14.4" x14ac:dyDescent="0.3">
      <c r="A546" t="s">
        <v>624</v>
      </c>
      <c r="B546" t="s">
        <v>515</v>
      </c>
      <c r="C546" t="s">
        <v>36</v>
      </c>
      <c r="D546">
        <v>2</v>
      </c>
      <c r="E546">
        <v>0</v>
      </c>
      <c r="F546">
        <v>0</v>
      </c>
      <c r="G546">
        <v>0</v>
      </c>
      <c r="H546">
        <v>3</v>
      </c>
      <c r="I546">
        <v>2</v>
      </c>
      <c r="J546">
        <v>0</v>
      </c>
      <c r="K546" t="s">
        <v>20</v>
      </c>
      <c r="L546">
        <v>84</v>
      </c>
      <c r="M546">
        <v>1380860</v>
      </c>
      <c r="N546">
        <v>27</v>
      </c>
      <c r="O546">
        <v>78</v>
      </c>
      <c r="P546">
        <v>68</v>
      </c>
      <c r="Q546" t="str">
        <f t="shared" si="9"/>
        <v>23p31a4241@aect.dummy.in</v>
      </c>
    </row>
    <row r="547" spans="1:17" ht="14.4" x14ac:dyDescent="0.3">
      <c r="A547" t="s">
        <v>625</v>
      </c>
      <c r="B547" t="s">
        <v>515</v>
      </c>
      <c r="C547" t="s">
        <v>36</v>
      </c>
      <c r="D547">
        <v>3</v>
      </c>
      <c r="E547">
        <v>0</v>
      </c>
      <c r="F547">
        <v>3</v>
      </c>
      <c r="G547">
        <v>3</v>
      </c>
      <c r="H547">
        <v>4</v>
      </c>
      <c r="I547">
        <v>4</v>
      </c>
      <c r="J547">
        <v>2</v>
      </c>
      <c r="K547" t="s">
        <v>67</v>
      </c>
      <c r="L547">
        <v>45</v>
      </c>
      <c r="M547">
        <v>2117886</v>
      </c>
      <c r="N547">
        <v>9</v>
      </c>
      <c r="O547">
        <v>13</v>
      </c>
      <c r="P547">
        <v>270</v>
      </c>
      <c r="Q547" t="str">
        <f t="shared" si="9"/>
        <v>23p31a4242@aect.dummy.in</v>
      </c>
    </row>
    <row r="548" spans="1:17" ht="14.4" x14ac:dyDescent="0.3">
      <c r="A548" t="s">
        <v>626</v>
      </c>
      <c r="B548" t="s">
        <v>515</v>
      </c>
      <c r="C548" t="s">
        <v>36</v>
      </c>
      <c r="D548">
        <v>1</v>
      </c>
      <c r="E548">
        <v>0</v>
      </c>
      <c r="F548">
        <v>0</v>
      </c>
      <c r="G548">
        <v>0</v>
      </c>
      <c r="H548">
        <v>4</v>
      </c>
      <c r="I548">
        <v>2</v>
      </c>
      <c r="J548">
        <v>2</v>
      </c>
      <c r="K548" t="s">
        <v>67</v>
      </c>
      <c r="L548">
        <v>50</v>
      </c>
      <c r="M548">
        <v>1983886</v>
      </c>
      <c r="N548">
        <v>7</v>
      </c>
      <c r="O548">
        <v>16</v>
      </c>
      <c r="P548">
        <v>357</v>
      </c>
      <c r="Q548" t="str">
        <f t="shared" si="9"/>
        <v>23p31a4243@aect.dummy.in</v>
      </c>
    </row>
    <row r="549" spans="1:17" ht="14.4" x14ac:dyDescent="0.3">
      <c r="A549" t="s">
        <v>627</v>
      </c>
      <c r="B549" t="s">
        <v>515</v>
      </c>
      <c r="C549" t="s">
        <v>36</v>
      </c>
      <c r="D549">
        <v>0</v>
      </c>
      <c r="E549">
        <v>0</v>
      </c>
      <c r="F549">
        <v>0</v>
      </c>
      <c r="G549">
        <v>0</v>
      </c>
      <c r="H549">
        <v>5</v>
      </c>
      <c r="I549">
        <v>1</v>
      </c>
      <c r="J549">
        <v>2</v>
      </c>
      <c r="K549" t="s">
        <v>67</v>
      </c>
      <c r="L549">
        <v>9</v>
      </c>
      <c r="M549">
        <v>4699043</v>
      </c>
      <c r="N549">
        <v>0</v>
      </c>
      <c r="O549">
        <v>0</v>
      </c>
      <c r="P549">
        <v>0</v>
      </c>
      <c r="Q549" t="str">
        <f t="shared" si="9"/>
        <v>23p31a4244@aect.dummy.in</v>
      </c>
    </row>
    <row r="550" spans="1:17" ht="14.4" x14ac:dyDescent="0.3">
      <c r="A550" t="s">
        <v>628</v>
      </c>
      <c r="B550" t="s">
        <v>515</v>
      </c>
      <c r="C550" t="s">
        <v>36</v>
      </c>
      <c r="D550">
        <v>4</v>
      </c>
      <c r="E550">
        <v>3</v>
      </c>
      <c r="F550">
        <v>1</v>
      </c>
      <c r="G550">
        <v>3</v>
      </c>
      <c r="H550">
        <v>1</v>
      </c>
      <c r="I550">
        <v>6</v>
      </c>
      <c r="J550">
        <v>1</v>
      </c>
      <c r="K550" t="s">
        <v>71</v>
      </c>
      <c r="L550">
        <v>107</v>
      </c>
      <c r="M550">
        <v>1139893</v>
      </c>
      <c r="N550">
        <v>46</v>
      </c>
      <c r="O550">
        <v>159</v>
      </c>
      <c r="P550">
        <v>370</v>
      </c>
      <c r="Q550" t="str">
        <f t="shared" si="9"/>
        <v>23p31a4245@aect.dummy.in</v>
      </c>
    </row>
    <row r="551" spans="1:17" ht="14.4" x14ac:dyDescent="0.3">
      <c r="A551" t="s">
        <v>629</v>
      </c>
      <c r="B551" t="s">
        <v>515</v>
      </c>
      <c r="C551" t="s">
        <v>36</v>
      </c>
      <c r="D551">
        <v>0</v>
      </c>
      <c r="E551">
        <v>3</v>
      </c>
      <c r="F551">
        <v>0</v>
      </c>
      <c r="G551">
        <v>0</v>
      </c>
      <c r="H551">
        <v>3</v>
      </c>
      <c r="I551">
        <v>2</v>
      </c>
      <c r="J551">
        <v>2</v>
      </c>
      <c r="K551" t="s">
        <v>67</v>
      </c>
      <c r="L551">
        <v>9</v>
      </c>
      <c r="M551">
        <v>4681650</v>
      </c>
      <c r="N551">
        <v>0</v>
      </c>
      <c r="O551">
        <v>0</v>
      </c>
      <c r="P551">
        <v>7</v>
      </c>
      <c r="Q551" t="str">
        <f t="shared" si="9"/>
        <v>23p31a4246@aect.dummy.in</v>
      </c>
    </row>
    <row r="552" spans="1:17" ht="14.4" x14ac:dyDescent="0.3">
      <c r="A552" t="s">
        <v>630</v>
      </c>
      <c r="B552" t="s">
        <v>515</v>
      </c>
      <c r="C552" t="s">
        <v>36</v>
      </c>
      <c r="D552">
        <v>1</v>
      </c>
      <c r="E552">
        <v>0</v>
      </c>
      <c r="F552">
        <v>0</v>
      </c>
      <c r="G552">
        <v>0</v>
      </c>
      <c r="H552">
        <v>3</v>
      </c>
      <c r="I552">
        <v>2</v>
      </c>
      <c r="J552">
        <v>1</v>
      </c>
      <c r="K552" t="s">
        <v>71</v>
      </c>
      <c r="L552">
        <v>13</v>
      </c>
      <c r="M552">
        <v>4012798</v>
      </c>
      <c r="N552">
        <v>0</v>
      </c>
      <c r="O552">
        <v>0</v>
      </c>
      <c r="P552">
        <v>3</v>
      </c>
      <c r="Q552" t="str">
        <f t="shared" si="9"/>
        <v>23p31a4247@aect.dummy.in</v>
      </c>
    </row>
    <row r="553" spans="1:17" ht="14.4" x14ac:dyDescent="0.3">
      <c r="A553" t="s">
        <v>631</v>
      </c>
      <c r="B553" t="s">
        <v>515</v>
      </c>
      <c r="C553" t="s">
        <v>36</v>
      </c>
      <c r="D553">
        <v>4</v>
      </c>
      <c r="E553">
        <v>1</v>
      </c>
      <c r="F553">
        <v>3</v>
      </c>
      <c r="G553">
        <v>3</v>
      </c>
      <c r="H553">
        <v>3</v>
      </c>
      <c r="I553">
        <v>6</v>
      </c>
      <c r="J553">
        <v>2</v>
      </c>
      <c r="K553" t="s">
        <v>67</v>
      </c>
      <c r="L553">
        <v>21</v>
      </c>
      <c r="M553">
        <v>3222683</v>
      </c>
      <c r="N553">
        <v>1</v>
      </c>
      <c r="O553">
        <v>2</v>
      </c>
      <c r="P553">
        <v>222</v>
      </c>
      <c r="Q553" t="str">
        <f t="shared" si="9"/>
        <v>23p31a4248@aect.dummy.in</v>
      </c>
    </row>
    <row r="554" spans="1:17" ht="14.4" x14ac:dyDescent="0.3">
      <c r="A554" t="s">
        <v>632</v>
      </c>
      <c r="B554" t="s">
        <v>515</v>
      </c>
      <c r="C554" t="s">
        <v>36</v>
      </c>
      <c r="D554">
        <v>4</v>
      </c>
      <c r="E554">
        <v>0</v>
      </c>
      <c r="F554">
        <v>0</v>
      </c>
      <c r="G554">
        <v>0</v>
      </c>
      <c r="H554">
        <v>5</v>
      </c>
      <c r="I554">
        <v>3</v>
      </c>
      <c r="J554">
        <v>0</v>
      </c>
      <c r="K554" t="s">
        <v>20</v>
      </c>
      <c r="L554">
        <v>373</v>
      </c>
      <c r="M554">
        <v>254022</v>
      </c>
      <c r="N554">
        <v>264</v>
      </c>
      <c r="O554">
        <v>781</v>
      </c>
      <c r="P554">
        <v>14</v>
      </c>
      <c r="Q554" t="str">
        <f t="shared" si="9"/>
        <v>23p31a4251@aect.dummy.in</v>
      </c>
    </row>
    <row r="555" spans="1:17" ht="14.4" x14ac:dyDescent="0.3">
      <c r="A555" t="s">
        <v>633</v>
      </c>
      <c r="B555" t="s">
        <v>515</v>
      </c>
      <c r="C555" t="s">
        <v>36</v>
      </c>
      <c r="D555">
        <v>2</v>
      </c>
      <c r="E555">
        <v>0</v>
      </c>
      <c r="F555">
        <v>2</v>
      </c>
      <c r="G555">
        <v>2</v>
      </c>
      <c r="H555">
        <v>3</v>
      </c>
      <c r="I555">
        <v>4</v>
      </c>
      <c r="J555">
        <v>1</v>
      </c>
      <c r="K555" t="s">
        <v>90</v>
      </c>
      <c r="L555">
        <v>67</v>
      </c>
      <c r="M555">
        <v>1626593</v>
      </c>
      <c r="N555">
        <v>9</v>
      </c>
      <c r="O555">
        <v>14</v>
      </c>
      <c r="P555">
        <v>279</v>
      </c>
      <c r="Q555" t="str">
        <f t="shared" si="9"/>
        <v>23p31a4252@aect.dummy.in</v>
      </c>
    </row>
    <row r="556" spans="1:17" ht="14.4" x14ac:dyDescent="0.3">
      <c r="A556" t="s">
        <v>634</v>
      </c>
      <c r="B556" t="s">
        <v>515</v>
      </c>
      <c r="C556" t="s">
        <v>36</v>
      </c>
      <c r="D556">
        <v>0</v>
      </c>
      <c r="E556">
        <v>0</v>
      </c>
      <c r="F556">
        <v>0</v>
      </c>
      <c r="G556">
        <v>0</v>
      </c>
      <c r="H556">
        <v>3</v>
      </c>
      <c r="I556">
        <v>2</v>
      </c>
      <c r="J556">
        <v>1</v>
      </c>
      <c r="K556" t="s">
        <v>71</v>
      </c>
      <c r="L556">
        <v>0</v>
      </c>
      <c r="M556">
        <v>0</v>
      </c>
      <c r="N556">
        <v>2</v>
      </c>
      <c r="O556">
        <v>6</v>
      </c>
      <c r="P556">
        <v>20</v>
      </c>
      <c r="Q556" t="str">
        <f t="shared" si="9"/>
        <v>23p31a4253@aect.dummy.in</v>
      </c>
    </row>
    <row r="557" spans="1:17" ht="14.4" x14ac:dyDescent="0.3">
      <c r="A557" t="s">
        <v>635</v>
      </c>
      <c r="B557" t="s">
        <v>515</v>
      </c>
      <c r="C557" t="s">
        <v>36</v>
      </c>
      <c r="D557">
        <v>3</v>
      </c>
      <c r="E557">
        <v>0</v>
      </c>
      <c r="F557">
        <v>0</v>
      </c>
      <c r="G557">
        <v>0</v>
      </c>
      <c r="H557">
        <v>3</v>
      </c>
      <c r="I557">
        <v>2</v>
      </c>
      <c r="J557">
        <v>2</v>
      </c>
      <c r="K557" t="s">
        <v>67</v>
      </c>
      <c r="L557">
        <v>29</v>
      </c>
      <c r="M557">
        <v>2727244</v>
      </c>
      <c r="N557">
        <v>2</v>
      </c>
      <c r="O557">
        <v>6</v>
      </c>
      <c r="P557">
        <v>51</v>
      </c>
      <c r="Q557" t="str">
        <f t="shared" si="9"/>
        <v>23p31a4254@aect.dummy.in</v>
      </c>
    </row>
    <row r="558" spans="1:17" ht="14.4" x14ac:dyDescent="0.3">
      <c r="A558" t="s">
        <v>636</v>
      </c>
      <c r="B558" t="s">
        <v>515</v>
      </c>
      <c r="C558" t="s">
        <v>36</v>
      </c>
      <c r="D558">
        <v>0</v>
      </c>
      <c r="E558">
        <v>3</v>
      </c>
      <c r="F558">
        <v>0</v>
      </c>
      <c r="G558">
        <v>0</v>
      </c>
      <c r="H558">
        <v>3</v>
      </c>
      <c r="I558">
        <v>2</v>
      </c>
      <c r="J558">
        <v>2</v>
      </c>
      <c r="K558" t="s">
        <v>67</v>
      </c>
      <c r="L558">
        <v>58</v>
      </c>
      <c r="M558">
        <v>1794095</v>
      </c>
      <c r="N558">
        <v>0</v>
      </c>
      <c r="O558">
        <v>0</v>
      </c>
      <c r="P558">
        <v>0</v>
      </c>
      <c r="Q558" t="str">
        <f t="shared" si="9"/>
        <v>23p31a4255@aect.dummy.in</v>
      </c>
    </row>
    <row r="559" spans="1:17" ht="14.4" x14ac:dyDescent="0.3">
      <c r="A559" t="s">
        <v>637</v>
      </c>
      <c r="B559" t="s">
        <v>515</v>
      </c>
      <c r="C559" t="s">
        <v>36</v>
      </c>
      <c r="D559">
        <v>2</v>
      </c>
      <c r="E559">
        <v>0</v>
      </c>
      <c r="F559">
        <v>0</v>
      </c>
      <c r="G559">
        <v>0</v>
      </c>
      <c r="H559">
        <v>5</v>
      </c>
      <c r="I559">
        <v>2</v>
      </c>
      <c r="J559">
        <v>1</v>
      </c>
      <c r="K559" t="s">
        <v>71</v>
      </c>
      <c r="L559">
        <v>38</v>
      </c>
      <c r="M559">
        <v>2338571</v>
      </c>
      <c r="N559">
        <v>0</v>
      </c>
      <c r="O559">
        <v>0</v>
      </c>
      <c r="P559">
        <v>24</v>
      </c>
      <c r="Q559" t="str">
        <f t="shared" si="9"/>
        <v>23p31a4256@aect.dummy.in</v>
      </c>
    </row>
    <row r="560" spans="1:17" ht="14.4" x14ac:dyDescent="0.3">
      <c r="A560" t="s">
        <v>638</v>
      </c>
      <c r="B560" t="s">
        <v>515</v>
      </c>
      <c r="C560" t="s">
        <v>36</v>
      </c>
      <c r="D560">
        <v>3</v>
      </c>
      <c r="E560">
        <v>0</v>
      </c>
      <c r="F560">
        <v>0</v>
      </c>
      <c r="G560">
        <v>0</v>
      </c>
      <c r="H560">
        <v>5</v>
      </c>
      <c r="I560">
        <v>2</v>
      </c>
      <c r="J560">
        <v>2</v>
      </c>
      <c r="K560" t="s">
        <v>67</v>
      </c>
      <c r="L560">
        <v>30</v>
      </c>
      <c r="M560">
        <v>2679633</v>
      </c>
      <c r="N560">
        <v>3</v>
      </c>
      <c r="O560">
        <v>3</v>
      </c>
      <c r="P560">
        <v>66</v>
      </c>
      <c r="Q560" t="str">
        <f t="shared" si="9"/>
        <v>23p31a4257@aect.dummy.in</v>
      </c>
    </row>
    <row r="561" spans="1:17" ht="14.4" x14ac:dyDescent="0.3">
      <c r="A561" t="s">
        <v>639</v>
      </c>
      <c r="B561" t="s">
        <v>515</v>
      </c>
      <c r="C561" t="s">
        <v>36</v>
      </c>
      <c r="D561">
        <v>3</v>
      </c>
      <c r="E561">
        <v>3</v>
      </c>
      <c r="F561">
        <v>2</v>
      </c>
      <c r="G561">
        <v>3</v>
      </c>
      <c r="H561">
        <v>4</v>
      </c>
      <c r="I561">
        <v>6</v>
      </c>
      <c r="J561">
        <v>2</v>
      </c>
      <c r="K561" t="s">
        <v>67</v>
      </c>
      <c r="L561">
        <v>188</v>
      </c>
      <c r="M561">
        <v>655744</v>
      </c>
      <c r="N561">
        <v>164</v>
      </c>
      <c r="O561">
        <v>277</v>
      </c>
      <c r="P561">
        <v>701</v>
      </c>
      <c r="Q561" t="str">
        <f t="shared" si="9"/>
        <v>23p31a4259@aect.dummy.in</v>
      </c>
    </row>
    <row r="562" spans="1:17" ht="14.4" x14ac:dyDescent="0.3">
      <c r="A562" t="s">
        <v>640</v>
      </c>
      <c r="B562" t="s">
        <v>515</v>
      </c>
      <c r="C562" t="s">
        <v>36</v>
      </c>
      <c r="D562">
        <v>5</v>
      </c>
      <c r="E562">
        <v>0</v>
      </c>
      <c r="F562">
        <v>2</v>
      </c>
      <c r="G562">
        <v>1</v>
      </c>
      <c r="H562">
        <v>4</v>
      </c>
      <c r="I562">
        <v>5</v>
      </c>
      <c r="J562">
        <v>2</v>
      </c>
      <c r="K562" t="s">
        <v>583</v>
      </c>
      <c r="L562">
        <v>52</v>
      </c>
      <c r="M562">
        <v>1929569</v>
      </c>
      <c r="N562">
        <v>19</v>
      </c>
      <c r="O562">
        <v>25</v>
      </c>
      <c r="P562">
        <v>932</v>
      </c>
      <c r="Q562" t="str">
        <f t="shared" si="9"/>
        <v>23p31a4261@aect.dummy.in</v>
      </c>
    </row>
    <row r="563" spans="1:17" ht="14.4" x14ac:dyDescent="0.3">
      <c r="A563" t="s">
        <v>641</v>
      </c>
      <c r="B563" t="s">
        <v>515</v>
      </c>
      <c r="C563" t="s">
        <v>133</v>
      </c>
      <c r="D563">
        <v>3</v>
      </c>
      <c r="E563">
        <v>2</v>
      </c>
      <c r="F563">
        <v>0</v>
      </c>
      <c r="G563">
        <v>2</v>
      </c>
      <c r="H563">
        <v>5</v>
      </c>
      <c r="I563">
        <v>5</v>
      </c>
      <c r="J563">
        <v>2</v>
      </c>
      <c r="K563" t="s">
        <v>67</v>
      </c>
      <c r="L563">
        <v>49</v>
      </c>
      <c r="M563">
        <v>2010068</v>
      </c>
      <c r="N563">
        <v>28</v>
      </c>
      <c r="O563">
        <v>55</v>
      </c>
      <c r="P563">
        <v>370</v>
      </c>
      <c r="Q563" t="str">
        <f t="shared" si="9"/>
        <v>23p31a4263@aect.dummy.in</v>
      </c>
    </row>
    <row r="564" spans="1:17" ht="14.4" x14ac:dyDescent="0.3">
      <c r="A564" t="s">
        <v>642</v>
      </c>
      <c r="B564" t="s">
        <v>515</v>
      </c>
      <c r="C564" t="s">
        <v>133</v>
      </c>
      <c r="D564">
        <v>0</v>
      </c>
      <c r="E564">
        <v>0</v>
      </c>
      <c r="F564">
        <v>0</v>
      </c>
      <c r="G564">
        <v>0</v>
      </c>
      <c r="H564">
        <v>0</v>
      </c>
      <c r="I564">
        <v>0</v>
      </c>
      <c r="J564">
        <v>0</v>
      </c>
      <c r="K564" t="s">
        <v>20</v>
      </c>
      <c r="L564">
        <v>15</v>
      </c>
      <c r="M564">
        <v>3772903</v>
      </c>
      <c r="N564">
        <v>4</v>
      </c>
      <c r="O564">
        <v>5</v>
      </c>
      <c r="P564">
        <v>209</v>
      </c>
      <c r="Q564" t="str">
        <f t="shared" si="9"/>
        <v>23p31a4265@aect.dummy.in</v>
      </c>
    </row>
    <row r="565" spans="1:17" ht="14.4" x14ac:dyDescent="0.3">
      <c r="A565" t="s">
        <v>643</v>
      </c>
      <c r="B565" t="s">
        <v>515</v>
      </c>
      <c r="C565" t="s">
        <v>133</v>
      </c>
      <c r="D565">
        <v>2</v>
      </c>
      <c r="E565">
        <v>0</v>
      </c>
      <c r="F565">
        <v>0</v>
      </c>
      <c r="G565">
        <v>0</v>
      </c>
      <c r="H565">
        <v>1</v>
      </c>
      <c r="I565">
        <v>2</v>
      </c>
      <c r="J565">
        <v>0</v>
      </c>
      <c r="K565" t="s">
        <v>20</v>
      </c>
      <c r="L565">
        <v>0</v>
      </c>
      <c r="M565">
        <v>5000001</v>
      </c>
      <c r="N565">
        <v>0</v>
      </c>
      <c r="O565">
        <v>0</v>
      </c>
      <c r="P565">
        <v>168</v>
      </c>
      <c r="Q565" t="str">
        <f t="shared" si="9"/>
        <v>23p31a4266@aect.dummy.in</v>
      </c>
    </row>
    <row r="566" spans="1:17" ht="14.4" x14ac:dyDescent="0.3">
      <c r="A566" t="s">
        <v>644</v>
      </c>
      <c r="B566" t="s">
        <v>515</v>
      </c>
      <c r="C566" t="s">
        <v>133</v>
      </c>
      <c r="D566">
        <v>4</v>
      </c>
      <c r="E566">
        <v>5</v>
      </c>
      <c r="F566">
        <v>5</v>
      </c>
      <c r="G566">
        <v>5</v>
      </c>
      <c r="H566">
        <v>5</v>
      </c>
      <c r="I566">
        <v>6</v>
      </c>
      <c r="J566">
        <v>2</v>
      </c>
      <c r="K566" t="s">
        <v>69</v>
      </c>
      <c r="L566">
        <v>344</v>
      </c>
      <c r="M566">
        <v>290220</v>
      </c>
      <c r="N566">
        <v>227</v>
      </c>
      <c r="O566">
        <v>694</v>
      </c>
      <c r="P566">
        <v>15</v>
      </c>
      <c r="Q566" t="str">
        <f t="shared" si="9"/>
        <v>23p31a4267@aect.dummy.in</v>
      </c>
    </row>
    <row r="567" spans="1:17" ht="14.4" x14ac:dyDescent="0.3">
      <c r="A567" t="s">
        <v>645</v>
      </c>
      <c r="B567" t="s">
        <v>515</v>
      </c>
      <c r="C567" t="s">
        <v>133</v>
      </c>
      <c r="D567">
        <v>0</v>
      </c>
      <c r="E567">
        <v>0</v>
      </c>
      <c r="F567">
        <v>1</v>
      </c>
      <c r="G567">
        <v>0</v>
      </c>
      <c r="H567">
        <v>4</v>
      </c>
      <c r="I567">
        <v>2</v>
      </c>
      <c r="J567">
        <v>2</v>
      </c>
      <c r="K567" t="s">
        <v>67</v>
      </c>
      <c r="L567">
        <v>13</v>
      </c>
      <c r="M567">
        <v>3997277</v>
      </c>
      <c r="N567">
        <v>1</v>
      </c>
      <c r="O567">
        <v>1</v>
      </c>
      <c r="P567">
        <v>14</v>
      </c>
      <c r="Q567" t="str">
        <f t="shared" si="9"/>
        <v>23p31a4268@aect.dummy.in</v>
      </c>
    </row>
    <row r="568" spans="1:17" ht="14.4" x14ac:dyDescent="0.3">
      <c r="A568" t="s">
        <v>646</v>
      </c>
      <c r="B568" t="s">
        <v>515</v>
      </c>
      <c r="C568" t="s">
        <v>133</v>
      </c>
      <c r="D568">
        <v>3</v>
      </c>
      <c r="E568">
        <v>0</v>
      </c>
      <c r="F568">
        <v>0</v>
      </c>
      <c r="G568">
        <v>0</v>
      </c>
      <c r="H568">
        <v>3</v>
      </c>
      <c r="I568">
        <v>3</v>
      </c>
      <c r="J568">
        <v>2</v>
      </c>
      <c r="K568" t="s">
        <v>67</v>
      </c>
      <c r="L568">
        <v>50</v>
      </c>
      <c r="M568">
        <v>1978679</v>
      </c>
      <c r="N568">
        <v>2</v>
      </c>
      <c r="O568">
        <v>6</v>
      </c>
      <c r="P568">
        <v>401</v>
      </c>
      <c r="Q568" t="str">
        <f t="shared" si="9"/>
        <v>23p31a4271@aect.dummy.in</v>
      </c>
    </row>
    <row r="569" spans="1:17" ht="14.4" x14ac:dyDescent="0.3">
      <c r="A569" t="s">
        <v>647</v>
      </c>
      <c r="B569" t="s">
        <v>515</v>
      </c>
      <c r="C569" t="s">
        <v>133</v>
      </c>
      <c r="D569">
        <v>3</v>
      </c>
      <c r="E569">
        <v>0</v>
      </c>
      <c r="F569">
        <v>0</v>
      </c>
      <c r="G569">
        <v>3</v>
      </c>
      <c r="H569">
        <v>4</v>
      </c>
      <c r="I569">
        <v>3</v>
      </c>
      <c r="J569">
        <v>2</v>
      </c>
      <c r="K569" t="s">
        <v>67</v>
      </c>
      <c r="L569">
        <v>35</v>
      </c>
      <c r="M569">
        <v>2458087</v>
      </c>
      <c r="N569">
        <v>7</v>
      </c>
      <c r="O569">
        <v>15</v>
      </c>
      <c r="P569">
        <v>593</v>
      </c>
      <c r="Q569" t="str">
        <f t="shared" si="9"/>
        <v>23p31a4272@aect.dummy.in</v>
      </c>
    </row>
    <row r="570" spans="1:17" ht="14.4" x14ac:dyDescent="0.3">
      <c r="A570" t="s">
        <v>648</v>
      </c>
      <c r="B570" t="s">
        <v>515</v>
      </c>
      <c r="C570" t="s">
        <v>133</v>
      </c>
      <c r="D570">
        <v>3</v>
      </c>
      <c r="E570">
        <v>0</v>
      </c>
      <c r="F570">
        <v>0</v>
      </c>
      <c r="G570">
        <v>1</v>
      </c>
      <c r="H570">
        <v>4</v>
      </c>
      <c r="I570">
        <v>4</v>
      </c>
      <c r="J570">
        <v>2</v>
      </c>
      <c r="K570" t="s">
        <v>67</v>
      </c>
      <c r="L570">
        <v>39</v>
      </c>
      <c r="M570">
        <v>2306957</v>
      </c>
      <c r="N570">
        <v>84</v>
      </c>
      <c r="O570">
        <v>123</v>
      </c>
      <c r="P570">
        <v>250</v>
      </c>
      <c r="Q570" t="str">
        <f t="shared" ref="Q570:Q633" si="10">LOWER(A570) &amp;"@aect.dummy.in"</f>
        <v>23p31a4274@aect.dummy.in</v>
      </c>
    </row>
    <row r="571" spans="1:17" ht="14.4" x14ac:dyDescent="0.3">
      <c r="A571" t="s">
        <v>649</v>
      </c>
      <c r="B571" t="s">
        <v>515</v>
      </c>
      <c r="C571" t="s">
        <v>133</v>
      </c>
      <c r="D571">
        <v>0</v>
      </c>
      <c r="E571">
        <v>0</v>
      </c>
      <c r="F571">
        <v>0</v>
      </c>
      <c r="G571">
        <v>0</v>
      </c>
      <c r="H571">
        <v>0</v>
      </c>
      <c r="I571">
        <v>0</v>
      </c>
      <c r="J571">
        <v>0</v>
      </c>
      <c r="K571" t="s">
        <v>20</v>
      </c>
      <c r="L571">
        <v>0</v>
      </c>
      <c r="M571">
        <v>5000001</v>
      </c>
      <c r="N571">
        <v>0</v>
      </c>
      <c r="O571">
        <v>0</v>
      </c>
      <c r="P571">
        <v>0</v>
      </c>
      <c r="Q571" t="str">
        <f t="shared" si="10"/>
        <v>23p31a4281@aect.dummy.in</v>
      </c>
    </row>
    <row r="572" spans="1:17" ht="14.4" x14ac:dyDescent="0.3">
      <c r="A572" t="s">
        <v>650</v>
      </c>
      <c r="B572" t="s">
        <v>515</v>
      </c>
      <c r="C572" t="s">
        <v>133</v>
      </c>
      <c r="D572">
        <v>0</v>
      </c>
      <c r="E572">
        <v>0</v>
      </c>
      <c r="F572">
        <v>0</v>
      </c>
      <c r="G572">
        <v>0</v>
      </c>
      <c r="H572">
        <v>0</v>
      </c>
      <c r="I572">
        <v>0</v>
      </c>
      <c r="J572">
        <v>0</v>
      </c>
      <c r="K572" t="s">
        <v>20</v>
      </c>
      <c r="L572">
        <v>0</v>
      </c>
      <c r="M572">
        <v>5000001</v>
      </c>
      <c r="N572">
        <v>0</v>
      </c>
      <c r="O572">
        <v>0</v>
      </c>
      <c r="P572">
        <v>0</v>
      </c>
      <c r="Q572" t="str">
        <f t="shared" si="10"/>
        <v>23p31a4295@aect.dummy.in</v>
      </c>
    </row>
    <row r="573" spans="1:17" ht="14.4" x14ac:dyDescent="0.3">
      <c r="A573" t="s">
        <v>651</v>
      </c>
      <c r="B573" t="s">
        <v>515</v>
      </c>
      <c r="C573" t="s">
        <v>133</v>
      </c>
      <c r="D573">
        <v>0</v>
      </c>
      <c r="E573">
        <v>0</v>
      </c>
      <c r="F573">
        <v>0</v>
      </c>
      <c r="G573">
        <v>0</v>
      </c>
      <c r="H573">
        <v>0</v>
      </c>
      <c r="I573">
        <v>0</v>
      </c>
      <c r="J573">
        <v>0</v>
      </c>
      <c r="K573" t="s">
        <v>20</v>
      </c>
      <c r="L573">
        <v>5</v>
      </c>
      <c r="M573">
        <v>5000001</v>
      </c>
      <c r="N573">
        <v>0</v>
      </c>
      <c r="O573">
        <v>0</v>
      </c>
      <c r="P573">
        <v>0</v>
      </c>
      <c r="Q573" t="str">
        <f t="shared" si="10"/>
        <v>23p31a42a1@aect.dummy.in</v>
      </c>
    </row>
    <row r="574" spans="1:17" ht="14.4" x14ac:dyDescent="0.3">
      <c r="A574" t="s">
        <v>652</v>
      </c>
      <c r="B574" t="s">
        <v>515</v>
      </c>
      <c r="C574" t="s">
        <v>133</v>
      </c>
      <c r="D574">
        <v>0</v>
      </c>
      <c r="E574">
        <v>0</v>
      </c>
      <c r="F574">
        <v>0</v>
      </c>
      <c r="G574">
        <v>0</v>
      </c>
      <c r="H574">
        <v>0</v>
      </c>
      <c r="I574">
        <v>0</v>
      </c>
      <c r="J574">
        <v>0</v>
      </c>
      <c r="K574" t="s">
        <v>20</v>
      </c>
      <c r="L574">
        <v>0</v>
      </c>
      <c r="M574">
        <v>5000001</v>
      </c>
      <c r="N574">
        <v>0</v>
      </c>
      <c r="O574">
        <v>0</v>
      </c>
      <c r="P574">
        <v>0</v>
      </c>
      <c r="Q574" t="str">
        <f t="shared" si="10"/>
        <v>23p31a42a8@aect.dummy.in</v>
      </c>
    </row>
    <row r="575" spans="1:17" ht="14.4" x14ac:dyDescent="0.3">
      <c r="A575" t="s">
        <v>653</v>
      </c>
      <c r="B575" t="s">
        <v>515</v>
      </c>
      <c r="C575" t="s">
        <v>133</v>
      </c>
      <c r="D575">
        <v>0</v>
      </c>
      <c r="E575">
        <v>0</v>
      </c>
      <c r="F575">
        <v>3</v>
      </c>
      <c r="G575">
        <v>2</v>
      </c>
      <c r="H575">
        <v>1</v>
      </c>
      <c r="I575">
        <v>3</v>
      </c>
      <c r="J575">
        <v>0</v>
      </c>
      <c r="K575" t="s">
        <v>20</v>
      </c>
      <c r="L575">
        <v>7</v>
      </c>
      <c r="M575">
        <v>5000001</v>
      </c>
      <c r="N575">
        <v>4</v>
      </c>
      <c r="O575">
        <v>3</v>
      </c>
      <c r="P575">
        <v>167</v>
      </c>
      <c r="Q575" t="str">
        <f t="shared" si="10"/>
        <v>23p31a42c1@aect.dummy.in</v>
      </c>
    </row>
    <row r="576" spans="1:17" ht="14.4" x14ac:dyDescent="0.3">
      <c r="A576" t="s">
        <v>654</v>
      </c>
      <c r="B576" t="s">
        <v>515</v>
      </c>
      <c r="C576" t="s">
        <v>133</v>
      </c>
      <c r="D576">
        <v>0</v>
      </c>
      <c r="E576">
        <v>0</v>
      </c>
      <c r="F576">
        <v>0</v>
      </c>
      <c r="G576">
        <v>0</v>
      </c>
      <c r="H576">
        <v>0</v>
      </c>
      <c r="I576">
        <v>0</v>
      </c>
      <c r="J576">
        <v>0</v>
      </c>
      <c r="K576" t="s">
        <v>20</v>
      </c>
      <c r="L576">
        <v>0</v>
      </c>
      <c r="M576">
        <v>5000001</v>
      </c>
      <c r="N576">
        <v>0</v>
      </c>
      <c r="O576">
        <v>0</v>
      </c>
      <c r="P576">
        <v>0</v>
      </c>
      <c r="Q576" t="str">
        <f t="shared" si="10"/>
        <v>23p31a42e2@aect.dummy.in</v>
      </c>
    </row>
    <row r="577" spans="1:17" ht="14.4" x14ac:dyDescent="0.3">
      <c r="A577" t="s">
        <v>655</v>
      </c>
      <c r="B577" t="s">
        <v>515</v>
      </c>
      <c r="C577" t="s">
        <v>133</v>
      </c>
      <c r="D577">
        <v>0</v>
      </c>
      <c r="E577">
        <v>0</v>
      </c>
      <c r="F577">
        <v>0</v>
      </c>
      <c r="G577">
        <v>0</v>
      </c>
      <c r="H577">
        <v>3</v>
      </c>
      <c r="I577">
        <v>1</v>
      </c>
      <c r="J577">
        <v>3</v>
      </c>
      <c r="K577" t="s">
        <v>100</v>
      </c>
      <c r="L577">
        <v>25</v>
      </c>
      <c r="M577">
        <v>2952804</v>
      </c>
      <c r="N577">
        <v>46</v>
      </c>
      <c r="O577">
        <v>67</v>
      </c>
      <c r="P577">
        <v>115</v>
      </c>
      <c r="Q577" t="str">
        <f t="shared" si="10"/>
        <v>23p31a42f6@aect.dummy.in</v>
      </c>
    </row>
    <row r="578" spans="1:17" ht="14.4" x14ac:dyDescent="0.3">
      <c r="A578" t="s">
        <v>656</v>
      </c>
      <c r="B578" t="s">
        <v>515</v>
      </c>
      <c r="C578" t="s">
        <v>133</v>
      </c>
      <c r="D578">
        <v>0</v>
      </c>
      <c r="E578">
        <v>0</v>
      </c>
      <c r="F578">
        <v>0</v>
      </c>
      <c r="G578">
        <v>0</v>
      </c>
      <c r="H578">
        <v>5</v>
      </c>
      <c r="I578">
        <v>1</v>
      </c>
      <c r="J578">
        <v>4</v>
      </c>
      <c r="K578" t="s">
        <v>657</v>
      </c>
      <c r="L578">
        <v>27</v>
      </c>
      <c r="M578">
        <v>2838389</v>
      </c>
      <c r="N578">
        <v>0</v>
      </c>
      <c r="O578">
        <v>0</v>
      </c>
      <c r="P578">
        <v>0</v>
      </c>
      <c r="Q578" t="str">
        <f t="shared" si="10"/>
        <v>23p31a42g3@aect.dummy.in</v>
      </c>
    </row>
    <row r="579" spans="1:17" ht="14.4" x14ac:dyDescent="0.3">
      <c r="A579" t="s">
        <v>658</v>
      </c>
      <c r="B579" t="s">
        <v>515</v>
      </c>
      <c r="C579" t="s">
        <v>133</v>
      </c>
      <c r="D579">
        <v>0</v>
      </c>
      <c r="E579">
        <v>0</v>
      </c>
      <c r="F579">
        <v>0</v>
      </c>
      <c r="G579">
        <v>0</v>
      </c>
      <c r="H579">
        <v>3</v>
      </c>
      <c r="I579">
        <v>1</v>
      </c>
      <c r="J579">
        <v>1</v>
      </c>
      <c r="K579" t="s">
        <v>71</v>
      </c>
      <c r="L579">
        <v>3</v>
      </c>
      <c r="M579">
        <v>5000001</v>
      </c>
      <c r="N579">
        <v>0</v>
      </c>
      <c r="O579">
        <v>0</v>
      </c>
      <c r="P579">
        <v>0</v>
      </c>
      <c r="Q579" t="str">
        <f t="shared" si="10"/>
        <v>23p31a4402@aect.dummy.in</v>
      </c>
    </row>
    <row r="580" spans="1:17" ht="14.4" x14ac:dyDescent="0.3">
      <c r="A580" t="s">
        <v>659</v>
      </c>
      <c r="B580" t="s">
        <v>515</v>
      </c>
      <c r="C580" t="s">
        <v>133</v>
      </c>
      <c r="D580">
        <v>0</v>
      </c>
      <c r="E580">
        <v>0</v>
      </c>
      <c r="F580">
        <v>0</v>
      </c>
      <c r="G580">
        <v>0</v>
      </c>
      <c r="H580">
        <v>0</v>
      </c>
      <c r="I580">
        <v>1</v>
      </c>
      <c r="J580">
        <v>0</v>
      </c>
      <c r="K580" t="s">
        <v>20</v>
      </c>
      <c r="L580">
        <v>5</v>
      </c>
      <c r="M580">
        <v>5000001</v>
      </c>
      <c r="N580">
        <v>0</v>
      </c>
      <c r="O580">
        <v>0</v>
      </c>
      <c r="P580">
        <v>10</v>
      </c>
      <c r="Q580" t="str">
        <f t="shared" si="10"/>
        <v>23p31a4403@aect.dummy.in</v>
      </c>
    </row>
    <row r="581" spans="1:17" ht="14.4" x14ac:dyDescent="0.3">
      <c r="A581" t="s">
        <v>660</v>
      </c>
      <c r="B581" t="s">
        <v>515</v>
      </c>
      <c r="C581" t="s">
        <v>133</v>
      </c>
      <c r="D581">
        <v>0</v>
      </c>
      <c r="E581">
        <v>0</v>
      </c>
      <c r="F581">
        <v>0</v>
      </c>
      <c r="G581">
        <v>0</v>
      </c>
      <c r="H581">
        <v>0</v>
      </c>
      <c r="I581">
        <v>0</v>
      </c>
      <c r="J581">
        <v>0</v>
      </c>
      <c r="K581" t="s">
        <v>20</v>
      </c>
      <c r="L581">
        <v>0</v>
      </c>
      <c r="M581">
        <v>5000001</v>
      </c>
      <c r="N581">
        <v>0</v>
      </c>
      <c r="O581">
        <v>0</v>
      </c>
      <c r="P581">
        <v>285</v>
      </c>
      <c r="Q581" t="str">
        <f t="shared" si="10"/>
        <v>23p31a4404@aect.dummy.in</v>
      </c>
    </row>
    <row r="582" spans="1:17" ht="14.4" x14ac:dyDescent="0.3">
      <c r="A582" t="s">
        <v>661</v>
      </c>
      <c r="B582" t="s">
        <v>515</v>
      </c>
      <c r="C582" t="s">
        <v>133</v>
      </c>
      <c r="D582">
        <v>0</v>
      </c>
      <c r="E582">
        <v>0</v>
      </c>
      <c r="F582">
        <v>0</v>
      </c>
      <c r="G582">
        <v>0</v>
      </c>
      <c r="H582">
        <v>0</v>
      </c>
      <c r="I582">
        <v>0</v>
      </c>
      <c r="J582">
        <v>0</v>
      </c>
      <c r="K582" t="s">
        <v>20</v>
      </c>
      <c r="L582">
        <v>5</v>
      </c>
      <c r="M582">
        <v>5000001</v>
      </c>
      <c r="N582">
        <v>0</v>
      </c>
      <c r="O582">
        <v>0</v>
      </c>
      <c r="P582">
        <v>77</v>
      </c>
      <c r="Q582" t="str">
        <f t="shared" si="10"/>
        <v>23p31a4405@aect.dummy.in</v>
      </c>
    </row>
    <row r="583" spans="1:17" ht="14.4" x14ac:dyDescent="0.3">
      <c r="A583" t="s">
        <v>662</v>
      </c>
      <c r="B583" t="s">
        <v>515</v>
      </c>
      <c r="C583" t="s">
        <v>133</v>
      </c>
      <c r="D583">
        <v>3</v>
      </c>
      <c r="E583">
        <v>0</v>
      </c>
      <c r="F583">
        <v>0</v>
      </c>
      <c r="G583">
        <v>0</v>
      </c>
      <c r="H583">
        <v>1</v>
      </c>
      <c r="I583">
        <v>3</v>
      </c>
      <c r="J583">
        <v>0</v>
      </c>
      <c r="K583" t="s">
        <v>20</v>
      </c>
      <c r="L583">
        <v>69</v>
      </c>
      <c r="M583">
        <v>1593356</v>
      </c>
      <c r="N583">
        <v>93</v>
      </c>
      <c r="O583">
        <v>238</v>
      </c>
      <c r="P583">
        <v>164</v>
      </c>
      <c r="Q583" t="str">
        <f t="shared" si="10"/>
        <v>23p31a4410@aect.dummy.in</v>
      </c>
    </row>
    <row r="584" spans="1:17" ht="14.4" x14ac:dyDescent="0.3">
      <c r="A584" t="s">
        <v>663</v>
      </c>
      <c r="B584" t="s">
        <v>515</v>
      </c>
      <c r="C584" t="s">
        <v>133</v>
      </c>
      <c r="D584">
        <v>1</v>
      </c>
      <c r="E584">
        <v>0</v>
      </c>
      <c r="F584">
        <v>0</v>
      </c>
      <c r="G584">
        <v>0</v>
      </c>
      <c r="H584">
        <v>0</v>
      </c>
      <c r="I584">
        <v>1</v>
      </c>
      <c r="J584">
        <v>0</v>
      </c>
      <c r="K584" t="s">
        <v>20</v>
      </c>
      <c r="L584">
        <v>0</v>
      </c>
      <c r="M584">
        <v>5000001</v>
      </c>
      <c r="N584">
        <v>0</v>
      </c>
      <c r="O584">
        <v>0</v>
      </c>
      <c r="P584">
        <v>146</v>
      </c>
      <c r="Q584" t="str">
        <f t="shared" si="10"/>
        <v>23p31a4414@aect.dummy.in</v>
      </c>
    </row>
    <row r="585" spans="1:17" ht="14.4" x14ac:dyDescent="0.3">
      <c r="A585" t="s">
        <v>664</v>
      </c>
      <c r="B585" t="s">
        <v>515</v>
      </c>
      <c r="C585" t="s">
        <v>133</v>
      </c>
      <c r="D585">
        <v>0</v>
      </c>
      <c r="E585">
        <v>0</v>
      </c>
      <c r="F585">
        <v>0</v>
      </c>
      <c r="G585">
        <v>0</v>
      </c>
      <c r="H585">
        <v>0</v>
      </c>
      <c r="I585">
        <v>0</v>
      </c>
      <c r="J585">
        <v>0</v>
      </c>
      <c r="K585" t="s">
        <v>20</v>
      </c>
      <c r="L585">
        <v>33</v>
      </c>
      <c r="M585">
        <v>2540795</v>
      </c>
      <c r="N585">
        <v>0</v>
      </c>
      <c r="O585">
        <v>0</v>
      </c>
      <c r="P585">
        <v>368</v>
      </c>
      <c r="Q585" t="str">
        <f t="shared" si="10"/>
        <v>23p31a4416@aect.dummy.in</v>
      </c>
    </row>
    <row r="586" spans="1:17" ht="14.4" x14ac:dyDescent="0.3">
      <c r="A586" t="s">
        <v>665</v>
      </c>
      <c r="B586" t="s">
        <v>515</v>
      </c>
      <c r="C586" t="s">
        <v>133</v>
      </c>
      <c r="D586">
        <v>1</v>
      </c>
      <c r="E586">
        <v>0</v>
      </c>
      <c r="F586">
        <v>0</v>
      </c>
      <c r="G586">
        <v>0</v>
      </c>
      <c r="H586">
        <v>0</v>
      </c>
      <c r="I586">
        <v>2</v>
      </c>
      <c r="J586">
        <v>0</v>
      </c>
      <c r="K586" t="s">
        <v>20</v>
      </c>
      <c r="L586">
        <v>7</v>
      </c>
      <c r="M586">
        <v>5000001</v>
      </c>
      <c r="N586">
        <v>0</v>
      </c>
      <c r="O586">
        <v>0</v>
      </c>
      <c r="P586">
        <v>43</v>
      </c>
      <c r="Q586" t="str">
        <f t="shared" si="10"/>
        <v>23p31a4419@aect.dummy.in</v>
      </c>
    </row>
    <row r="587" spans="1:17" ht="14.4" x14ac:dyDescent="0.3">
      <c r="A587" t="s">
        <v>666</v>
      </c>
      <c r="B587" t="s">
        <v>515</v>
      </c>
      <c r="C587" t="s">
        <v>133</v>
      </c>
      <c r="D587">
        <v>0</v>
      </c>
      <c r="E587">
        <v>0</v>
      </c>
      <c r="F587">
        <v>0</v>
      </c>
      <c r="G587">
        <v>0</v>
      </c>
      <c r="H587">
        <v>0</v>
      </c>
      <c r="I587">
        <v>1</v>
      </c>
      <c r="J587">
        <v>0</v>
      </c>
      <c r="K587" t="s">
        <v>20</v>
      </c>
      <c r="L587">
        <v>2</v>
      </c>
      <c r="M587">
        <v>5000001</v>
      </c>
      <c r="N587">
        <v>0</v>
      </c>
      <c r="O587">
        <v>0</v>
      </c>
      <c r="P587">
        <v>54</v>
      </c>
      <c r="Q587" t="str">
        <f t="shared" si="10"/>
        <v>23p31a4421@aect.dummy.in</v>
      </c>
    </row>
    <row r="588" spans="1:17" ht="14.4" x14ac:dyDescent="0.3">
      <c r="A588" t="s">
        <v>667</v>
      </c>
      <c r="B588" t="s">
        <v>515</v>
      </c>
      <c r="C588" t="s">
        <v>133</v>
      </c>
      <c r="D588">
        <v>3</v>
      </c>
      <c r="E588">
        <v>0</v>
      </c>
      <c r="F588">
        <v>0</v>
      </c>
      <c r="G588">
        <v>0</v>
      </c>
      <c r="H588">
        <v>0</v>
      </c>
      <c r="I588">
        <v>2</v>
      </c>
      <c r="J588">
        <v>0</v>
      </c>
      <c r="K588" t="s">
        <v>20</v>
      </c>
      <c r="L588">
        <v>56</v>
      </c>
      <c r="M588">
        <v>1836022</v>
      </c>
      <c r="N588">
        <v>48</v>
      </c>
      <c r="O588">
        <v>117</v>
      </c>
      <c r="P588">
        <v>69</v>
      </c>
      <c r="Q588" t="str">
        <f t="shared" si="10"/>
        <v>23p31a4422@aect.dummy.in</v>
      </c>
    </row>
    <row r="589" spans="1:17" ht="14.4" x14ac:dyDescent="0.3">
      <c r="A589" t="s">
        <v>668</v>
      </c>
      <c r="B589" t="s">
        <v>515</v>
      </c>
      <c r="C589" t="s">
        <v>133</v>
      </c>
      <c r="D589">
        <v>1</v>
      </c>
      <c r="E589">
        <v>0</v>
      </c>
      <c r="F589">
        <v>0</v>
      </c>
      <c r="G589">
        <v>0</v>
      </c>
      <c r="H589">
        <v>0</v>
      </c>
      <c r="I589">
        <v>1</v>
      </c>
      <c r="J589">
        <v>0</v>
      </c>
      <c r="K589" t="s">
        <v>20</v>
      </c>
      <c r="L589">
        <v>4</v>
      </c>
      <c r="M589">
        <v>5000001</v>
      </c>
      <c r="N589">
        <v>5</v>
      </c>
      <c r="O589">
        <v>9</v>
      </c>
      <c r="P589">
        <v>138</v>
      </c>
      <c r="Q589" t="str">
        <f t="shared" si="10"/>
        <v>23p31a4426@aect.dummy.in</v>
      </c>
    </row>
    <row r="590" spans="1:17" ht="14.4" x14ac:dyDescent="0.3">
      <c r="A590" t="s">
        <v>669</v>
      </c>
      <c r="B590" t="s">
        <v>515</v>
      </c>
      <c r="C590" t="s">
        <v>133</v>
      </c>
      <c r="D590">
        <v>3</v>
      </c>
      <c r="E590">
        <v>1</v>
      </c>
      <c r="F590">
        <v>2</v>
      </c>
      <c r="G590">
        <v>3</v>
      </c>
      <c r="H590">
        <v>0</v>
      </c>
      <c r="I590">
        <v>5</v>
      </c>
      <c r="J590">
        <v>0</v>
      </c>
      <c r="K590" t="s">
        <v>20</v>
      </c>
      <c r="L590">
        <v>11</v>
      </c>
      <c r="M590">
        <v>4298123</v>
      </c>
      <c r="N590">
        <v>7</v>
      </c>
      <c r="O590">
        <v>13</v>
      </c>
      <c r="P590">
        <v>671</v>
      </c>
      <c r="Q590" t="str">
        <f t="shared" si="10"/>
        <v>23p31a4430@aect.dummy.in</v>
      </c>
    </row>
    <row r="591" spans="1:17" ht="14.4" x14ac:dyDescent="0.3">
      <c r="A591" t="s">
        <v>670</v>
      </c>
      <c r="B591" t="s">
        <v>515</v>
      </c>
      <c r="C591" t="s">
        <v>133</v>
      </c>
      <c r="D591">
        <v>3</v>
      </c>
      <c r="E591">
        <v>1</v>
      </c>
      <c r="F591">
        <v>2</v>
      </c>
      <c r="G591">
        <v>3</v>
      </c>
      <c r="H591">
        <v>1</v>
      </c>
      <c r="I591">
        <v>6</v>
      </c>
      <c r="J591">
        <v>0</v>
      </c>
      <c r="K591" t="s">
        <v>20</v>
      </c>
      <c r="L591">
        <v>25</v>
      </c>
      <c r="M591">
        <v>2937465</v>
      </c>
      <c r="N591">
        <v>48</v>
      </c>
      <c r="O591">
        <v>103</v>
      </c>
      <c r="P591">
        <v>692</v>
      </c>
      <c r="Q591" t="str">
        <f t="shared" si="10"/>
        <v>23p31a4434@aect.dummy.in</v>
      </c>
    </row>
    <row r="592" spans="1:17" ht="14.4" x14ac:dyDescent="0.3">
      <c r="A592" t="s">
        <v>671</v>
      </c>
      <c r="B592" t="s">
        <v>515</v>
      </c>
      <c r="C592" t="s">
        <v>133</v>
      </c>
      <c r="D592">
        <v>3</v>
      </c>
      <c r="E592">
        <v>0</v>
      </c>
      <c r="F592">
        <v>0</v>
      </c>
      <c r="G592">
        <v>0</v>
      </c>
      <c r="H592">
        <v>0</v>
      </c>
      <c r="I592">
        <v>1</v>
      </c>
      <c r="J592">
        <v>0</v>
      </c>
      <c r="K592" t="s">
        <v>20</v>
      </c>
      <c r="L592">
        <v>2</v>
      </c>
      <c r="M592">
        <v>5000001</v>
      </c>
      <c r="N592">
        <v>2</v>
      </c>
      <c r="O592">
        <v>4</v>
      </c>
      <c r="P592">
        <v>575</v>
      </c>
      <c r="Q592" t="str">
        <f t="shared" si="10"/>
        <v>23p31a4436@aect.dummy.in</v>
      </c>
    </row>
    <row r="593" spans="1:17" ht="14.4" x14ac:dyDescent="0.3">
      <c r="A593" t="s">
        <v>672</v>
      </c>
      <c r="B593" t="s">
        <v>515</v>
      </c>
      <c r="C593" t="s">
        <v>673</v>
      </c>
      <c r="D593">
        <v>3</v>
      </c>
      <c r="E593">
        <v>0</v>
      </c>
      <c r="F593">
        <v>0</v>
      </c>
      <c r="G593">
        <v>0</v>
      </c>
      <c r="H593">
        <v>0</v>
      </c>
      <c r="I593">
        <v>1</v>
      </c>
      <c r="J593">
        <v>0</v>
      </c>
      <c r="K593" t="s">
        <v>20</v>
      </c>
      <c r="L593">
        <v>15</v>
      </c>
      <c r="M593">
        <v>3763083</v>
      </c>
      <c r="N593">
        <v>2</v>
      </c>
      <c r="O593">
        <v>2</v>
      </c>
      <c r="P593">
        <v>481</v>
      </c>
      <c r="Q593" t="str">
        <f t="shared" si="10"/>
        <v>23p31a4441@aect.dummy.in</v>
      </c>
    </row>
    <row r="594" spans="1:17" ht="14.4" x14ac:dyDescent="0.3">
      <c r="A594" t="s">
        <v>674</v>
      </c>
      <c r="B594" t="s">
        <v>515</v>
      </c>
      <c r="C594" t="s">
        <v>673</v>
      </c>
      <c r="D594">
        <v>3</v>
      </c>
      <c r="E594">
        <v>0</v>
      </c>
      <c r="F594">
        <v>0</v>
      </c>
      <c r="G594">
        <v>0</v>
      </c>
      <c r="H594">
        <v>0</v>
      </c>
      <c r="I594">
        <v>1</v>
      </c>
      <c r="J594">
        <v>0</v>
      </c>
      <c r="K594" t="s">
        <v>20</v>
      </c>
      <c r="L594">
        <v>1</v>
      </c>
      <c r="M594">
        <v>5000001</v>
      </c>
      <c r="N594">
        <v>2</v>
      </c>
      <c r="O594">
        <v>4</v>
      </c>
      <c r="P594">
        <v>15</v>
      </c>
      <c r="Q594" t="str">
        <f t="shared" si="10"/>
        <v>23p31a4442@aect.dummy.in</v>
      </c>
    </row>
    <row r="595" spans="1:17" ht="14.4" x14ac:dyDescent="0.3">
      <c r="A595" t="s">
        <v>675</v>
      </c>
      <c r="B595" t="s">
        <v>515</v>
      </c>
      <c r="C595" t="s">
        <v>673</v>
      </c>
      <c r="D595">
        <v>0</v>
      </c>
      <c r="E595">
        <v>0</v>
      </c>
      <c r="F595">
        <v>0</v>
      </c>
      <c r="G595">
        <v>0</v>
      </c>
      <c r="H595">
        <v>0</v>
      </c>
      <c r="I595">
        <v>0</v>
      </c>
      <c r="J595">
        <v>0</v>
      </c>
      <c r="K595" t="s">
        <v>20</v>
      </c>
      <c r="L595">
        <v>0</v>
      </c>
      <c r="M595">
        <v>5000001</v>
      </c>
      <c r="N595">
        <v>0</v>
      </c>
      <c r="O595">
        <v>0</v>
      </c>
      <c r="P595">
        <v>0</v>
      </c>
      <c r="Q595" t="str">
        <f t="shared" si="10"/>
        <v>23p31a4443@aect.dummy.in</v>
      </c>
    </row>
    <row r="596" spans="1:17" ht="14.4" x14ac:dyDescent="0.3">
      <c r="A596" t="s">
        <v>676</v>
      </c>
      <c r="B596" t="s">
        <v>515</v>
      </c>
      <c r="C596" t="s">
        <v>673</v>
      </c>
      <c r="D596">
        <v>3</v>
      </c>
      <c r="E596">
        <v>0</v>
      </c>
      <c r="F596">
        <v>2</v>
      </c>
      <c r="G596">
        <v>3</v>
      </c>
      <c r="H596">
        <v>0</v>
      </c>
      <c r="I596">
        <v>4</v>
      </c>
      <c r="J596">
        <v>0</v>
      </c>
      <c r="K596" t="s">
        <v>20</v>
      </c>
      <c r="L596">
        <v>5</v>
      </c>
      <c r="M596">
        <v>5000001</v>
      </c>
      <c r="N596">
        <v>11</v>
      </c>
      <c r="O596">
        <v>18</v>
      </c>
      <c r="P596">
        <v>445</v>
      </c>
      <c r="Q596" t="str">
        <f t="shared" si="10"/>
        <v>23p31a4444@aect.dummy.in</v>
      </c>
    </row>
    <row r="597" spans="1:17" ht="14.4" x14ac:dyDescent="0.3">
      <c r="A597" t="s">
        <v>677</v>
      </c>
      <c r="B597" t="s">
        <v>515</v>
      </c>
      <c r="C597" t="s">
        <v>673</v>
      </c>
      <c r="D597">
        <v>1</v>
      </c>
      <c r="E597">
        <v>0</v>
      </c>
      <c r="F597">
        <v>0</v>
      </c>
      <c r="G597">
        <v>1</v>
      </c>
      <c r="H597">
        <v>0</v>
      </c>
      <c r="I597">
        <v>2</v>
      </c>
      <c r="J597">
        <v>0</v>
      </c>
      <c r="K597" t="s">
        <v>20</v>
      </c>
      <c r="L597">
        <v>0</v>
      </c>
      <c r="M597">
        <v>5000001</v>
      </c>
      <c r="N597">
        <v>2</v>
      </c>
      <c r="O597">
        <v>3</v>
      </c>
      <c r="P597">
        <v>102</v>
      </c>
      <c r="Q597" t="str">
        <f t="shared" si="10"/>
        <v>23p31a4465@aect.dummy.in</v>
      </c>
    </row>
    <row r="598" spans="1:17" ht="14.4" x14ac:dyDescent="0.3">
      <c r="A598" t="s">
        <v>678</v>
      </c>
      <c r="B598" t="s">
        <v>515</v>
      </c>
      <c r="C598" t="s">
        <v>673</v>
      </c>
      <c r="D598">
        <v>4</v>
      </c>
      <c r="E598">
        <v>0</v>
      </c>
      <c r="F598">
        <v>4</v>
      </c>
      <c r="G598">
        <v>5</v>
      </c>
      <c r="H598">
        <v>5</v>
      </c>
      <c r="I598">
        <v>4</v>
      </c>
      <c r="J598">
        <v>2</v>
      </c>
      <c r="K598" t="s">
        <v>140</v>
      </c>
      <c r="L598">
        <v>3</v>
      </c>
      <c r="M598">
        <v>5000001</v>
      </c>
      <c r="N598">
        <v>1</v>
      </c>
      <c r="O598">
        <v>2</v>
      </c>
      <c r="P598">
        <v>193</v>
      </c>
      <c r="Q598" t="str">
        <f t="shared" si="10"/>
        <v>23p31a4466@aect.dummy.in</v>
      </c>
    </row>
    <row r="599" spans="1:17" ht="14.4" x14ac:dyDescent="0.3">
      <c r="A599" t="s">
        <v>679</v>
      </c>
      <c r="B599" t="s">
        <v>515</v>
      </c>
      <c r="C599" t="s">
        <v>673</v>
      </c>
      <c r="D599">
        <v>0</v>
      </c>
      <c r="E599">
        <v>0</v>
      </c>
      <c r="F599">
        <v>0</v>
      </c>
      <c r="G599">
        <v>0</v>
      </c>
      <c r="H599">
        <v>0</v>
      </c>
      <c r="I599">
        <v>0</v>
      </c>
      <c r="J599">
        <v>0</v>
      </c>
      <c r="K599" t="s">
        <v>20</v>
      </c>
      <c r="L599">
        <v>1</v>
      </c>
      <c r="M599">
        <v>5000001</v>
      </c>
      <c r="N599">
        <v>0</v>
      </c>
      <c r="O599">
        <v>0</v>
      </c>
      <c r="P599">
        <v>129</v>
      </c>
      <c r="Q599" t="str">
        <f t="shared" si="10"/>
        <v>23p31a4467@aect.dummy.in</v>
      </c>
    </row>
    <row r="600" spans="1:17" ht="14.4" x14ac:dyDescent="0.3">
      <c r="A600" t="s">
        <v>680</v>
      </c>
      <c r="B600" t="s">
        <v>515</v>
      </c>
      <c r="C600" t="s">
        <v>673</v>
      </c>
      <c r="D600">
        <v>0</v>
      </c>
      <c r="E600">
        <v>0</v>
      </c>
      <c r="F600">
        <v>0</v>
      </c>
      <c r="G600">
        <v>0</v>
      </c>
      <c r="H600">
        <v>0</v>
      </c>
      <c r="I600">
        <v>0</v>
      </c>
      <c r="J600">
        <v>0</v>
      </c>
      <c r="K600" t="s">
        <v>20</v>
      </c>
      <c r="L600">
        <v>0</v>
      </c>
      <c r="M600">
        <v>5000001</v>
      </c>
      <c r="N600">
        <v>0</v>
      </c>
      <c r="O600">
        <v>0</v>
      </c>
      <c r="P600">
        <v>0</v>
      </c>
      <c r="Q600" t="str">
        <f t="shared" si="10"/>
        <v>23p31a4475@aect.dummy.in</v>
      </c>
    </row>
    <row r="601" spans="1:17" ht="14.4" x14ac:dyDescent="0.3">
      <c r="A601" t="s">
        <v>681</v>
      </c>
      <c r="B601" t="s">
        <v>515</v>
      </c>
      <c r="C601" t="s">
        <v>673</v>
      </c>
      <c r="D601">
        <v>4</v>
      </c>
      <c r="E601">
        <v>0</v>
      </c>
      <c r="F601">
        <v>0</v>
      </c>
      <c r="G601">
        <v>0</v>
      </c>
      <c r="H601">
        <v>1</v>
      </c>
      <c r="I601">
        <v>2</v>
      </c>
      <c r="J601">
        <v>1</v>
      </c>
      <c r="K601" t="s">
        <v>339</v>
      </c>
      <c r="L601">
        <v>1</v>
      </c>
      <c r="M601">
        <v>5000001</v>
      </c>
      <c r="N601">
        <v>4</v>
      </c>
      <c r="O601">
        <v>6</v>
      </c>
      <c r="P601">
        <v>99</v>
      </c>
      <c r="Q601" t="str">
        <f t="shared" si="10"/>
        <v>23p31a4477@aect.dummy.in</v>
      </c>
    </row>
    <row r="602" spans="1:17" ht="14.4" x14ac:dyDescent="0.3">
      <c r="A602" t="s">
        <v>682</v>
      </c>
      <c r="B602" t="s">
        <v>515</v>
      </c>
      <c r="C602" t="s">
        <v>673</v>
      </c>
      <c r="D602">
        <v>0</v>
      </c>
      <c r="E602">
        <v>0</v>
      </c>
      <c r="F602">
        <v>2</v>
      </c>
      <c r="G602">
        <v>0</v>
      </c>
      <c r="H602">
        <v>0</v>
      </c>
      <c r="I602">
        <v>1</v>
      </c>
      <c r="J602">
        <v>0</v>
      </c>
      <c r="K602" t="s">
        <v>20</v>
      </c>
      <c r="L602">
        <v>0</v>
      </c>
      <c r="M602">
        <v>5000001</v>
      </c>
      <c r="N602">
        <v>0</v>
      </c>
      <c r="O602">
        <v>0</v>
      </c>
      <c r="P602">
        <v>72</v>
      </c>
      <c r="Q602" t="str">
        <f t="shared" si="10"/>
        <v>23p31a4479@aect.dummy.in</v>
      </c>
    </row>
    <row r="603" spans="1:17" ht="14.4" x14ac:dyDescent="0.3">
      <c r="A603" t="s">
        <v>683</v>
      </c>
      <c r="B603" t="s">
        <v>515</v>
      </c>
      <c r="C603" t="s">
        <v>673</v>
      </c>
      <c r="D603">
        <v>0</v>
      </c>
      <c r="E603">
        <v>0</v>
      </c>
      <c r="F603">
        <v>0</v>
      </c>
      <c r="G603">
        <v>0</v>
      </c>
      <c r="H603">
        <v>0</v>
      </c>
      <c r="I603">
        <v>0</v>
      </c>
      <c r="J603">
        <v>0</v>
      </c>
      <c r="K603" t="s">
        <v>20</v>
      </c>
      <c r="L603">
        <v>0</v>
      </c>
      <c r="M603">
        <v>5000001</v>
      </c>
      <c r="N603">
        <v>0</v>
      </c>
      <c r="O603">
        <v>0</v>
      </c>
      <c r="P603">
        <v>0</v>
      </c>
      <c r="Q603" t="str">
        <f t="shared" si="10"/>
        <v>23p31a4482@aect.dummy.in</v>
      </c>
    </row>
    <row r="604" spans="1:17" ht="14.4" x14ac:dyDescent="0.3">
      <c r="A604" t="s">
        <v>684</v>
      </c>
      <c r="B604" t="s">
        <v>515</v>
      </c>
      <c r="C604" t="s">
        <v>673</v>
      </c>
      <c r="D604">
        <v>0</v>
      </c>
      <c r="E604">
        <v>0</v>
      </c>
      <c r="F604">
        <v>0</v>
      </c>
      <c r="G604">
        <v>0</v>
      </c>
      <c r="H604">
        <v>0</v>
      </c>
      <c r="I604">
        <v>0</v>
      </c>
      <c r="J604">
        <v>0</v>
      </c>
      <c r="K604" t="s">
        <v>20</v>
      </c>
      <c r="L604">
        <v>0</v>
      </c>
      <c r="M604">
        <v>5000001</v>
      </c>
      <c r="N604">
        <v>0</v>
      </c>
      <c r="O604">
        <v>0</v>
      </c>
      <c r="P604">
        <v>0</v>
      </c>
      <c r="Q604" t="str">
        <f t="shared" si="10"/>
        <v>23p31a4484@aect.dummy.in</v>
      </c>
    </row>
    <row r="605" spans="1:17" ht="14.4" x14ac:dyDescent="0.3">
      <c r="A605" t="s">
        <v>685</v>
      </c>
      <c r="B605" t="s">
        <v>515</v>
      </c>
      <c r="C605" t="s">
        <v>673</v>
      </c>
      <c r="D605">
        <v>0</v>
      </c>
      <c r="E605">
        <v>0</v>
      </c>
      <c r="F605">
        <v>0</v>
      </c>
      <c r="G605">
        <v>0</v>
      </c>
      <c r="H605">
        <v>0</v>
      </c>
      <c r="I605">
        <v>0</v>
      </c>
      <c r="J605">
        <v>0</v>
      </c>
      <c r="K605" t="s">
        <v>20</v>
      </c>
      <c r="L605">
        <v>0</v>
      </c>
      <c r="M605">
        <v>5000001</v>
      </c>
      <c r="N605">
        <v>0</v>
      </c>
      <c r="O605">
        <v>0</v>
      </c>
      <c r="P605">
        <v>0</v>
      </c>
      <c r="Q605" t="str">
        <f t="shared" si="10"/>
        <v>23p31a4486@aect.dummy.in</v>
      </c>
    </row>
    <row r="606" spans="1:17" ht="14.4" x14ac:dyDescent="0.3">
      <c r="A606" t="s">
        <v>686</v>
      </c>
      <c r="B606" t="s">
        <v>515</v>
      </c>
      <c r="C606" t="s">
        <v>673</v>
      </c>
      <c r="D606">
        <v>0</v>
      </c>
      <c r="E606">
        <v>0</v>
      </c>
      <c r="F606">
        <v>0</v>
      </c>
      <c r="G606">
        <v>2</v>
      </c>
      <c r="H606">
        <v>0</v>
      </c>
      <c r="I606">
        <v>1</v>
      </c>
      <c r="J606">
        <v>0</v>
      </c>
      <c r="K606" t="s">
        <v>20</v>
      </c>
      <c r="L606">
        <v>0</v>
      </c>
      <c r="M606">
        <v>5000001</v>
      </c>
      <c r="N606">
        <v>0</v>
      </c>
      <c r="O606">
        <v>0</v>
      </c>
      <c r="P606">
        <v>4</v>
      </c>
      <c r="Q606" t="str">
        <f t="shared" si="10"/>
        <v>23p31a4487@aect.dummy.in</v>
      </c>
    </row>
    <row r="607" spans="1:17" ht="14.4" x14ac:dyDescent="0.3">
      <c r="A607" t="s">
        <v>687</v>
      </c>
      <c r="B607" t="s">
        <v>515</v>
      </c>
      <c r="C607" t="s">
        <v>673</v>
      </c>
      <c r="D607">
        <v>0</v>
      </c>
      <c r="E607">
        <v>0</v>
      </c>
      <c r="F607">
        <v>0</v>
      </c>
      <c r="G607">
        <v>0</v>
      </c>
      <c r="H607">
        <v>0</v>
      </c>
      <c r="I607">
        <v>0</v>
      </c>
      <c r="J607">
        <v>0</v>
      </c>
      <c r="K607" t="s">
        <v>20</v>
      </c>
      <c r="L607">
        <v>3</v>
      </c>
      <c r="M607">
        <v>5000001</v>
      </c>
      <c r="N607">
        <v>0</v>
      </c>
      <c r="O607">
        <v>0</v>
      </c>
      <c r="P607">
        <v>132</v>
      </c>
      <c r="Q607" t="str">
        <f t="shared" si="10"/>
        <v>23p31a4490@aect.dummy.in</v>
      </c>
    </row>
    <row r="608" spans="1:17" ht="14.4" x14ac:dyDescent="0.3">
      <c r="A608" t="s">
        <v>688</v>
      </c>
      <c r="B608" t="s">
        <v>515</v>
      </c>
      <c r="C608" t="s">
        <v>673</v>
      </c>
      <c r="D608">
        <v>0</v>
      </c>
      <c r="E608">
        <v>0</v>
      </c>
      <c r="F608">
        <v>0</v>
      </c>
      <c r="G608">
        <v>0</v>
      </c>
      <c r="H608">
        <v>0</v>
      </c>
      <c r="I608">
        <v>0</v>
      </c>
      <c r="J608">
        <v>0</v>
      </c>
      <c r="K608" t="s">
        <v>20</v>
      </c>
      <c r="L608">
        <v>0</v>
      </c>
      <c r="M608">
        <v>5000001</v>
      </c>
      <c r="N608">
        <v>0</v>
      </c>
      <c r="O608">
        <v>0</v>
      </c>
      <c r="P608">
        <v>0</v>
      </c>
      <c r="Q608" t="str">
        <f t="shared" si="10"/>
        <v>23p31a4497@aect.dummy.in</v>
      </c>
    </row>
    <row r="609" spans="1:17" ht="14.4" x14ac:dyDescent="0.3">
      <c r="A609" t="s">
        <v>689</v>
      </c>
      <c r="B609" t="s">
        <v>515</v>
      </c>
      <c r="C609" t="s">
        <v>673</v>
      </c>
      <c r="D609">
        <v>0</v>
      </c>
      <c r="E609">
        <v>0</v>
      </c>
      <c r="F609">
        <v>0</v>
      </c>
      <c r="G609">
        <v>0</v>
      </c>
      <c r="H609">
        <v>0</v>
      </c>
      <c r="I609">
        <v>0</v>
      </c>
      <c r="J609">
        <v>0</v>
      </c>
      <c r="K609" t="s">
        <v>20</v>
      </c>
      <c r="L609">
        <v>0</v>
      </c>
      <c r="M609">
        <v>5000001</v>
      </c>
      <c r="N609">
        <v>0</v>
      </c>
      <c r="O609">
        <v>0</v>
      </c>
      <c r="P609">
        <v>4</v>
      </c>
      <c r="Q609" t="str">
        <f t="shared" si="10"/>
        <v>23p31a4498@aect.dummy.in</v>
      </c>
    </row>
    <row r="610" spans="1:17" ht="14.4" x14ac:dyDescent="0.3">
      <c r="A610" t="s">
        <v>690</v>
      </c>
      <c r="B610" t="s">
        <v>515</v>
      </c>
      <c r="C610" t="s">
        <v>673</v>
      </c>
      <c r="D610">
        <v>0</v>
      </c>
      <c r="E610">
        <v>0</v>
      </c>
      <c r="F610">
        <v>0</v>
      </c>
      <c r="G610">
        <v>0</v>
      </c>
      <c r="H610">
        <v>0</v>
      </c>
      <c r="I610">
        <v>0</v>
      </c>
      <c r="J610">
        <v>0</v>
      </c>
      <c r="K610" t="s">
        <v>20</v>
      </c>
      <c r="L610">
        <v>0</v>
      </c>
      <c r="M610">
        <v>5000001</v>
      </c>
      <c r="N610">
        <v>0</v>
      </c>
      <c r="O610">
        <v>0</v>
      </c>
      <c r="P610">
        <v>0</v>
      </c>
      <c r="Q610" t="str">
        <f t="shared" si="10"/>
        <v>23p31a44a0@aect.dummy.in</v>
      </c>
    </row>
    <row r="611" spans="1:17" ht="14.4" x14ac:dyDescent="0.3">
      <c r="A611" t="s">
        <v>691</v>
      </c>
      <c r="B611" t="s">
        <v>515</v>
      </c>
      <c r="C611" t="s">
        <v>673</v>
      </c>
      <c r="D611">
        <v>0</v>
      </c>
      <c r="E611">
        <v>0</v>
      </c>
      <c r="F611">
        <v>1</v>
      </c>
      <c r="G611">
        <v>0</v>
      </c>
      <c r="H611">
        <v>0</v>
      </c>
      <c r="I611">
        <v>1</v>
      </c>
      <c r="J611">
        <v>0</v>
      </c>
      <c r="K611" t="s">
        <v>20</v>
      </c>
      <c r="L611">
        <v>0</v>
      </c>
      <c r="M611">
        <v>5000001</v>
      </c>
      <c r="N611">
        <v>0</v>
      </c>
      <c r="O611">
        <v>0</v>
      </c>
      <c r="P611">
        <v>75</v>
      </c>
      <c r="Q611" t="str">
        <f t="shared" si="10"/>
        <v>23p31a44a3@aect.dummy.in</v>
      </c>
    </row>
    <row r="612" spans="1:17" ht="14.4" x14ac:dyDescent="0.3">
      <c r="A612" t="s">
        <v>692</v>
      </c>
      <c r="B612" t="s">
        <v>515</v>
      </c>
      <c r="C612" t="s">
        <v>673</v>
      </c>
      <c r="D612">
        <v>0</v>
      </c>
      <c r="E612">
        <v>0</v>
      </c>
      <c r="F612">
        <v>0</v>
      </c>
      <c r="G612">
        <v>0</v>
      </c>
      <c r="H612">
        <v>0</v>
      </c>
      <c r="I612">
        <v>0</v>
      </c>
      <c r="J612">
        <v>0</v>
      </c>
      <c r="K612" t="s">
        <v>20</v>
      </c>
      <c r="L612">
        <v>0</v>
      </c>
      <c r="M612">
        <v>5000001</v>
      </c>
      <c r="N612">
        <v>0</v>
      </c>
      <c r="O612">
        <v>0</v>
      </c>
      <c r="P612">
        <v>0</v>
      </c>
      <c r="Q612" t="str">
        <f t="shared" si="10"/>
        <v>23p31a44a6@aect.dummy.in</v>
      </c>
    </row>
    <row r="613" spans="1:17" ht="14.4" x14ac:dyDescent="0.3">
      <c r="A613" t="s">
        <v>693</v>
      </c>
      <c r="B613" t="s">
        <v>515</v>
      </c>
      <c r="C613" t="s">
        <v>673</v>
      </c>
      <c r="D613">
        <v>2</v>
      </c>
      <c r="E613">
        <v>0</v>
      </c>
      <c r="F613">
        <v>1</v>
      </c>
      <c r="G613">
        <v>2</v>
      </c>
      <c r="H613">
        <v>0</v>
      </c>
      <c r="I613">
        <v>3</v>
      </c>
      <c r="J613">
        <v>0</v>
      </c>
      <c r="K613" t="s">
        <v>20</v>
      </c>
      <c r="L613">
        <v>0</v>
      </c>
      <c r="M613">
        <v>5000001</v>
      </c>
      <c r="N613">
        <v>0</v>
      </c>
      <c r="O613">
        <v>0</v>
      </c>
      <c r="P613">
        <v>529</v>
      </c>
      <c r="Q613" t="str">
        <f t="shared" si="10"/>
        <v>23p31a44c4@aect.dummy.in</v>
      </c>
    </row>
    <row r="614" spans="1:17" ht="14.4" x14ac:dyDescent="0.3">
      <c r="A614" t="s">
        <v>694</v>
      </c>
      <c r="B614" t="s">
        <v>515</v>
      </c>
      <c r="C614" t="s">
        <v>673</v>
      </c>
      <c r="D614">
        <v>0</v>
      </c>
      <c r="E614">
        <v>0</v>
      </c>
      <c r="F614">
        <v>0</v>
      </c>
      <c r="G614">
        <v>0</v>
      </c>
      <c r="H614">
        <v>0</v>
      </c>
      <c r="I614">
        <v>0</v>
      </c>
      <c r="J614">
        <v>0</v>
      </c>
      <c r="K614" t="s">
        <v>20</v>
      </c>
      <c r="L614">
        <v>0</v>
      </c>
      <c r="M614">
        <v>5000001</v>
      </c>
      <c r="N614">
        <v>0</v>
      </c>
      <c r="O614">
        <v>0</v>
      </c>
      <c r="P614">
        <v>13</v>
      </c>
      <c r="Q614" t="str">
        <f t="shared" si="10"/>
        <v>24a95a0403@aect.dummy.in</v>
      </c>
    </row>
    <row r="615" spans="1:17" ht="14.4" x14ac:dyDescent="0.3">
      <c r="A615" t="s">
        <v>695</v>
      </c>
      <c r="B615" t="s">
        <v>515</v>
      </c>
      <c r="C615" t="s">
        <v>673</v>
      </c>
      <c r="D615">
        <v>0</v>
      </c>
      <c r="E615">
        <v>0</v>
      </c>
      <c r="F615">
        <v>0</v>
      </c>
      <c r="G615">
        <v>0</v>
      </c>
      <c r="H615">
        <v>0</v>
      </c>
      <c r="I615">
        <v>0</v>
      </c>
      <c r="J615">
        <v>0</v>
      </c>
      <c r="K615" t="s">
        <v>20</v>
      </c>
      <c r="L615">
        <v>0</v>
      </c>
      <c r="M615">
        <v>5000001</v>
      </c>
      <c r="N615">
        <v>0</v>
      </c>
      <c r="O615">
        <v>0</v>
      </c>
      <c r="P615">
        <v>0</v>
      </c>
      <c r="Q615" t="str">
        <f t="shared" si="10"/>
        <v>24a95a0406@aect.dummy.in</v>
      </c>
    </row>
    <row r="616" spans="1:17" ht="14.4" x14ac:dyDescent="0.3">
      <c r="A616" t="s">
        <v>696</v>
      </c>
      <c r="B616" t="s">
        <v>515</v>
      </c>
      <c r="C616" t="s">
        <v>673</v>
      </c>
      <c r="D616">
        <v>0</v>
      </c>
      <c r="E616">
        <v>0</v>
      </c>
      <c r="F616">
        <v>0</v>
      </c>
      <c r="G616">
        <v>0</v>
      </c>
      <c r="H616">
        <v>0</v>
      </c>
      <c r="I616">
        <v>0</v>
      </c>
      <c r="J616">
        <v>0</v>
      </c>
      <c r="K616" t="s">
        <v>20</v>
      </c>
      <c r="L616">
        <v>0</v>
      </c>
      <c r="M616">
        <v>5000001</v>
      </c>
      <c r="N616">
        <v>0</v>
      </c>
      <c r="O616">
        <v>0</v>
      </c>
      <c r="P616">
        <v>93</v>
      </c>
      <c r="Q616" t="str">
        <f t="shared" si="10"/>
        <v>24a95a0407@aect.dummy.in</v>
      </c>
    </row>
    <row r="617" spans="1:17" ht="14.4" x14ac:dyDescent="0.3">
      <c r="A617" t="s">
        <v>697</v>
      </c>
      <c r="B617" t="s">
        <v>515</v>
      </c>
      <c r="C617" t="s">
        <v>673</v>
      </c>
      <c r="D617">
        <v>0</v>
      </c>
      <c r="E617">
        <v>0</v>
      </c>
      <c r="F617">
        <v>0</v>
      </c>
      <c r="G617">
        <v>0</v>
      </c>
      <c r="H617">
        <v>0</v>
      </c>
      <c r="I617">
        <v>0</v>
      </c>
      <c r="J617">
        <v>0</v>
      </c>
      <c r="K617" t="s">
        <v>20</v>
      </c>
      <c r="L617">
        <v>0</v>
      </c>
      <c r="M617">
        <v>5000001</v>
      </c>
      <c r="N617">
        <v>0</v>
      </c>
      <c r="O617">
        <v>0</v>
      </c>
      <c r="P617">
        <v>118</v>
      </c>
      <c r="Q617" t="str">
        <f t="shared" si="10"/>
        <v>24a95a0408@aect.dummy.in</v>
      </c>
    </row>
    <row r="618" spans="1:17" ht="14.4" x14ac:dyDescent="0.3">
      <c r="A618" t="s">
        <v>698</v>
      </c>
      <c r="B618" t="s">
        <v>515</v>
      </c>
      <c r="C618" t="s">
        <v>673</v>
      </c>
      <c r="D618">
        <v>0</v>
      </c>
      <c r="E618">
        <v>0</v>
      </c>
      <c r="F618">
        <v>0</v>
      </c>
      <c r="G618">
        <v>0</v>
      </c>
      <c r="H618">
        <v>0</v>
      </c>
      <c r="I618">
        <v>0</v>
      </c>
      <c r="J618">
        <v>0</v>
      </c>
      <c r="K618" t="s">
        <v>20</v>
      </c>
      <c r="L618">
        <v>0</v>
      </c>
      <c r="M618">
        <v>5000001</v>
      </c>
      <c r="N618">
        <v>0</v>
      </c>
      <c r="O618">
        <v>0</v>
      </c>
      <c r="P618">
        <v>121</v>
      </c>
      <c r="Q618" t="str">
        <f t="shared" si="10"/>
        <v>24a95a0412@aect.dummy.in</v>
      </c>
    </row>
    <row r="619" spans="1:17" ht="14.4" x14ac:dyDescent="0.3">
      <c r="A619" t="s">
        <v>699</v>
      </c>
      <c r="B619" t="s">
        <v>515</v>
      </c>
      <c r="C619" t="s">
        <v>673</v>
      </c>
      <c r="D619">
        <v>0</v>
      </c>
      <c r="E619">
        <v>0</v>
      </c>
      <c r="F619">
        <v>0</v>
      </c>
      <c r="G619">
        <v>0</v>
      </c>
      <c r="H619">
        <v>0</v>
      </c>
      <c r="I619">
        <v>0</v>
      </c>
      <c r="J619">
        <v>0</v>
      </c>
      <c r="K619" t="s">
        <v>20</v>
      </c>
      <c r="L619">
        <v>0</v>
      </c>
      <c r="M619">
        <v>5000001</v>
      </c>
      <c r="N619">
        <v>0</v>
      </c>
      <c r="O619">
        <v>0</v>
      </c>
      <c r="P619">
        <v>2</v>
      </c>
      <c r="Q619" t="str">
        <f t="shared" si="10"/>
        <v>24a95a0413@aect.dummy.in</v>
      </c>
    </row>
    <row r="620" spans="1:17" ht="14.4" x14ac:dyDescent="0.3">
      <c r="A620" t="s">
        <v>700</v>
      </c>
      <c r="B620" t="s">
        <v>515</v>
      </c>
      <c r="C620" t="s">
        <v>673</v>
      </c>
      <c r="D620">
        <v>0</v>
      </c>
      <c r="E620">
        <v>0</v>
      </c>
      <c r="F620">
        <v>0</v>
      </c>
      <c r="G620">
        <v>0</v>
      </c>
      <c r="H620">
        <v>0</v>
      </c>
      <c r="I620">
        <v>0</v>
      </c>
      <c r="J620">
        <v>0</v>
      </c>
      <c r="K620" t="s">
        <v>20</v>
      </c>
      <c r="L620">
        <v>0</v>
      </c>
      <c r="M620">
        <v>5000001</v>
      </c>
      <c r="N620">
        <v>0</v>
      </c>
      <c r="O620">
        <v>0</v>
      </c>
      <c r="P620">
        <v>0</v>
      </c>
      <c r="Q620" t="str">
        <f t="shared" si="10"/>
        <v>24a95a0414@aect.dummy.in</v>
      </c>
    </row>
    <row r="621" spans="1:17" ht="14.4" x14ac:dyDescent="0.3">
      <c r="A621" t="s">
        <v>701</v>
      </c>
      <c r="B621" t="s">
        <v>515</v>
      </c>
      <c r="C621" t="s">
        <v>673</v>
      </c>
      <c r="D621">
        <v>0</v>
      </c>
      <c r="E621">
        <v>0</v>
      </c>
      <c r="F621">
        <v>0</v>
      </c>
      <c r="G621">
        <v>0</v>
      </c>
      <c r="H621">
        <v>0</v>
      </c>
      <c r="I621">
        <v>0</v>
      </c>
      <c r="J621">
        <v>0</v>
      </c>
      <c r="K621" t="s">
        <v>20</v>
      </c>
      <c r="L621">
        <v>0</v>
      </c>
      <c r="M621">
        <v>5000001</v>
      </c>
      <c r="N621">
        <v>0</v>
      </c>
      <c r="O621">
        <v>0</v>
      </c>
      <c r="P621">
        <v>0</v>
      </c>
      <c r="Q621" t="str">
        <f t="shared" si="10"/>
        <v>24a95a0415@aect.dummy.in</v>
      </c>
    </row>
    <row r="622" spans="1:17" ht="14.4" x14ac:dyDescent="0.3">
      <c r="A622" t="s">
        <v>702</v>
      </c>
      <c r="B622" t="s">
        <v>515</v>
      </c>
      <c r="C622" t="s">
        <v>673</v>
      </c>
      <c r="D622">
        <v>0</v>
      </c>
      <c r="E622">
        <v>0</v>
      </c>
      <c r="F622">
        <v>0</v>
      </c>
      <c r="G622">
        <v>0</v>
      </c>
      <c r="H622">
        <v>0</v>
      </c>
      <c r="I622">
        <v>0</v>
      </c>
      <c r="J622">
        <v>0</v>
      </c>
      <c r="K622" t="s">
        <v>20</v>
      </c>
      <c r="L622">
        <v>0</v>
      </c>
      <c r="M622">
        <v>5000001</v>
      </c>
      <c r="N622">
        <v>0</v>
      </c>
      <c r="O622">
        <v>0</v>
      </c>
      <c r="P622">
        <v>0</v>
      </c>
      <c r="Q622" t="str">
        <f t="shared" si="10"/>
        <v>24a95a0421@aect.dummy.in</v>
      </c>
    </row>
    <row r="623" spans="1:17" ht="14.4" x14ac:dyDescent="0.3">
      <c r="A623" t="s">
        <v>703</v>
      </c>
      <c r="B623" t="s">
        <v>515</v>
      </c>
      <c r="C623" t="s">
        <v>673</v>
      </c>
      <c r="D623">
        <v>0</v>
      </c>
      <c r="E623">
        <v>0</v>
      </c>
      <c r="F623">
        <v>0</v>
      </c>
      <c r="G623">
        <v>3</v>
      </c>
      <c r="H623">
        <v>0</v>
      </c>
      <c r="I623">
        <v>1</v>
      </c>
      <c r="J623">
        <v>0</v>
      </c>
      <c r="K623" t="s">
        <v>20</v>
      </c>
      <c r="L623">
        <v>0</v>
      </c>
      <c r="M623">
        <v>5000001</v>
      </c>
      <c r="N623">
        <v>0</v>
      </c>
      <c r="O623">
        <v>0</v>
      </c>
      <c r="P623">
        <v>108</v>
      </c>
      <c r="Q623" t="str">
        <f t="shared" si="10"/>
        <v>24a95a0424@aect.dummy.in</v>
      </c>
    </row>
    <row r="624" spans="1:17" ht="14.4" x14ac:dyDescent="0.3">
      <c r="A624" t="s">
        <v>704</v>
      </c>
      <c r="B624" t="s">
        <v>515</v>
      </c>
      <c r="C624" t="s">
        <v>673</v>
      </c>
      <c r="D624">
        <v>0</v>
      </c>
      <c r="E624">
        <v>0</v>
      </c>
      <c r="F624">
        <v>0</v>
      </c>
      <c r="G624">
        <v>0</v>
      </c>
      <c r="H624">
        <v>0</v>
      </c>
      <c r="I624">
        <v>0</v>
      </c>
      <c r="J624">
        <v>0</v>
      </c>
      <c r="K624" t="s">
        <v>20</v>
      </c>
      <c r="L624">
        <v>0</v>
      </c>
      <c r="M624">
        <v>5000001</v>
      </c>
      <c r="N624">
        <v>0</v>
      </c>
      <c r="O624">
        <v>0</v>
      </c>
      <c r="P624">
        <v>0</v>
      </c>
      <c r="Q624" t="str">
        <f t="shared" si="10"/>
        <v>24a95a0425@aect.dummy.in</v>
      </c>
    </row>
    <row r="625" spans="1:17" ht="14.4" x14ac:dyDescent="0.3">
      <c r="A625" t="s">
        <v>705</v>
      </c>
      <c r="B625" t="s">
        <v>515</v>
      </c>
      <c r="C625" t="s">
        <v>673</v>
      </c>
      <c r="D625">
        <v>0</v>
      </c>
      <c r="E625">
        <v>0</v>
      </c>
      <c r="F625">
        <v>1</v>
      </c>
      <c r="G625">
        <v>5</v>
      </c>
      <c r="H625">
        <v>4</v>
      </c>
      <c r="I625">
        <v>4</v>
      </c>
      <c r="J625">
        <v>2</v>
      </c>
      <c r="K625" t="s">
        <v>67</v>
      </c>
      <c r="L625">
        <v>70</v>
      </c>
      <c r="M625">
        <v>1577855</v>
      </c>
      <c r="N625">
        <v>99</v>
      </c>
      <c r="O625">
        <v>254</v>
      </c>
      <c r="P625">
        <v>60</v>
      </c>
      <c r="Q625" t="str">
        <f t="shared" si="10"/>
        <v>24a95a0502@aect.dummy.in</v>
      </c>
    </row>
    <row r="626" spans="1:17" ht="14.4" x14ac:dyDescent="0.3">
      <c r="A626" t="s">
        <v>706</v>
      </c>
      <c r="B626" t="s">
        <v>515</v>
      </c>
      <c r="C626" t="s">
        <v>673</v>
      </c>
      <c r="D626">
        <v>2</v>
      </c>
      <c r="E626">
        <v>0</v>
      </c>
      <c r="F626">
        <v>0</v>
      </c>
      <c r="G626">
        <v>5</v>
      </c>
      <c r="H626">
        <v>5</v>
      </c>
      <c r="I626">
        <v>3</v>
      </c>
      <c r="J626">
        <v>1</v>
      </c>
      <c r="K626" t="s">
        <v>71</v>
      </c>
      <c r="L626">
        <v>0</v>
      </c>
      <c r="M626">
        <v>5000001</v>
      </c>
      <c r="N626">
        <v>0</v>
      </c>
      <c r="O626">
        <v>0</v>
      </c>
      <c r="P626">
        <v>125</v>
      </c>
      <c r="Q626" t="str">
        <f t="shared" si="10"/>
        <v>24a95a0505@aect.dummy.in</v>
      </c>
    </row>
    <row r="627" spans="1:17" ht="14.4" x14ac:dyDescent="0.3">
      <c r="A627" t="s">
        <v>707</v>
      </c>
      <c r="B627" t="s">
        <v>515</v>
      </c>
      <c r="C627" t="s">
        <v>673</v>
      </c>
      <c r="D627">
        <v>0</v>
      </c>
      <c r="E627">
        <v>0</v>
      </c>
      <c r="F627">
        <v>0</v>
      </c>
      <c r="G627">
        <v>0</v>
      </c>
      <c r="H627">
        <v>4</v>
      </c>
      <c r="I627">
        <v>2</v>
      </c>
      <c r="J627">
        <v>1</v>
      </c>
      <c r="K627" t="s">
        <v>71</v>
      </c>
      <c r="L627">
        <v>3</v>
      </c>
      <c r="M627">
        <v>5000001</v>
      </c>
      <c r="N627">
        <v>144</v>
      </c>
      <c r="O627">
        <v>298</v>
      </c>
      <c r="P627">
        <v>73</v>
      </c>
      <c r="Q627" t="str">
        <f t="shared" si="10"/>
        <v>24a95a0510@aect.dummy.in</v>
      </c>
    </row>
    <row r="628" spans="1:17" ht="14.4" x14ac:dyDescent="0.3">
      <c r="A628" t="s">
        <v>708</v>
      </c>
      <c r="B628" t="s">
        <v>515</v>
      </c>
      <c r="C628" t="s">
        <v>673</v>
      </c>
      <c r="D628">
        <v>0</v>
      </c>
      <c r="E628">
        <v>0</v>
      </c>
      <c r="F628">
        <v>4</v>
      </c>
      <c r="G628">
        <v>4</v>
      </c>
      <c r="H628">
        <v>3</v>
      </c>
      <c r="I628">
        <v>4</v>
      </c>
      <c r="J628">
        <v>1</v>
      </c>
      <c r="K628" t="s">
        <v>71</v>
      </c>
      <c r="L628">
        <v>234</v>
      </c>
      <c r="M628">
        <v>503642</v>
      </c>
      <c r="N628">
        <v>126</v>
      </c>
      <c r="O628">
        <v>311</v>
      </c>
      <c r="P628">
        <v>189</v>
      </c>
      <c r="Q628" t="str">
        <f t="shared" si="10"/>
        <v>24a95a0511@aect.dummy.in</v>
      </c>
    </row>
    <row r="629" spans="1:17" ht="14.4" x14ac:dyDescent="0.3">
      <c r="A629" t="s">
        <v>709</v>
      </c>
      <c r="B629" t="s">
        <v>515</v>
      </c>
      <c r="C629" t="s">
        <v>673</v>
      </c>
      <c r="D629">
        <v>1</v>
      </c>
      <c r="E629">
        <v>0</v>
      </c>
      <c r="F629">
        <v>1</v>
      </c>
      <c r="G629">
        <v>3</v>
      </c>
      <c r="H629">
        <v>5</v>
      </c>
      <c r="I629">
        <v>5</v>
      </c>
      <c r="J629">
        <v>2</v>
      </c>
      <c r="K629" t="s">
        <v>710</v>
      </c>
      <c r="L629">
        <v>107</v>
      </c>
      <c r="M629">
        <v>1139598</v>
      </c>
      <c r="N629">
        <v>25</v>
      </c>
      <c r="O629">
        <v>76</v>
      </c>
      <c r="P629">
        <v>125</v>
      </c>
      <c r="Q629" t="str">
        <f t="shared" si="10"/>
        <v>24a95a0512@aect.dummy.in</v>
      </c>
    </row>
    <row r="630" spans="1:17" ht="14.4" x14ac:dyDescent="0.3">
      <c r="A630" t="s">
        <v>711</v>
      </c>
      <c r="B630" t="s">
        <v>515</v>
      </c>
      <c r="C630" t="s">
        <v>673</v>
      </c>
      <c r="D630">
        <v>0</v>
      </c>
      <c r="E630">
        <v>0</v>
      </c>
      <c r="F630">
        <v>5</v>
      </c>
      <c r="G630">
        <v>5</v>
      </c>
      <c r="H630">
        <v>5</v>
      </c>
      <c r="I630">
        <v>3</v>
      </c>
      <c r="J630">
        <v>1</v>
      </c>
      <c r="K630" t="s">
        <v>71</v>
      </c>
      <c r="L630">
        <v>9</v>
      </c>
      <c r="M630">
        <v>4701120</v>
      </c>
      <c r="N630">
        <v>0</v>
      </c>
      <c r="O630">
        <v>0</v>
      </c>
      <c r="P630">
        <v>211</v>
      </c>
      <c r="Q630" t="str">
        <f t="shared" si="10"/>
        <v>24a95a0514@aect.dummy.in</v>
      </c>
    </row>
    <row r="631" spans="1:17" ht="14.4" x14ac:dyDescent="0.3">
      <c r="A631" t="s">
        <v>712</v>
      </c>
      <c r="B631" t="s">
        <v>515</v>
      </c>
      <c r="C631" t="s">
        <v>673</v>
      </c>
      <c r="D631">
        <v>4</v>
      </c>
      <c r="E631">
        <v>0</v>
      </c>
      <c r="F631">
        <v>1</v>
      </c>
      <c r="G631">
        <v>0</v>
      </c>
      <c r="H631">
        <v>3</v>
      </c>
      <c r="I631">
        <v>4</v>
      </c>
      <c r="J631">
        <v>2</v>
      </c>
      <c r="K631" t="s">
        <v>67</v>
      </c>
      <c r="L631">
        <v>253</v>
      </c>
      <c r="M631">
        <v>454653</v>
      </c>
      <c r="N631">
        <v>0</v>
      </c>
      <c r="O631">
        <v>0</v>
      </c>
      <c r="P631">
        <v>82</v>
      </c>
      <c r="Q631" t="str">
        <f t="shared" si="10"/>
        <v>24a95a0515@aect.dummy.in</v>
      </c>
    </row>
    <row r="632" spans="1:17" ht="14.4" x14ac:dyDescent="0.3">
      <c r="A632" t="s">
        <v>713</v>
      </c>
      <c r="B632" t="s">
        <v>515</v>
      </c>
      <c r="C632" t="s">
        <v>673</v>
      </c>
      <c r="D632">
        <v>3</v>
      </c>
      <c r="E632">
        <v>2</v>
      </c>
      <c r="F632">
        <v>2</v>
      </c>
      <c r="G632">
        <v>4</v>
      </c>
      <c r="H632">
        <v>4</v>
      </c>
      <c r="I632">
        <v>6</v>
      </c>
      <c r="J632">
        <v>4</v>
      </c>
      <c r="K632" t="s">
        <v>714</v>
      </c>
      <c r="L632">
        <v>227</v>
      </c>
      <c r="M632">
        <v>523561</v>
      </c>
      <c r="N632">
        <v>118</v>
      </c>
      <c r="O632">
        <v>177</v>
      </c>
      <c r="P632">
        <v>745</v>
      </c>
      <c r="Q632" t="str">
        <f t="shared" si="10"/>
        <v>24a95a0517@aect.dummy.in</v>
      </c>
    </row>
    <row r="633" spans="1:17" ht="14.4" x14ac:dyDescent="0.3">
      <c r="A633" t="s">
        <v>715</v>
      </c>
      <c r="B633" t="s">
        <v>515</v>
      </c>
      <c r="C633" t="s">
        <v>673</v>
      </c>
      <c r="D633">
        <v>0</v>
      </c>
      <c r="E633">
        <v>0</v>
      </c>
      <c r="F633">
        <v>0</v>
      </c>
      <c r="G633">
        <v>2</v>
      </c>
      <c r="H633">
        <v>0</v>
      </c>
      <c r="I633">
        <v>2</v>
      </c>
      <c r="J633">
        <v>2</v>
      </c>
      <c r="K633" t="s">
        <v>106</v>
      </c>
      <c r="L633">
        <v>101</v>
      </c>
      <c r="M633">
        <v>1198095</v>
      </c>
      <c r="N633">
        <v>10</v>
      </c>
      <c r="O633">
        <v>38</v>
      </c>
      <c r="P633">
        <v>29</v>
      </c>
      <c r="Q633" t="str">
        <f t="shared" si="10"/>
        <v>24a95a1202@aect.dummy.in</v>
      </c>
    </row>
    <row r="634" spans="1:17" ht="14.4" x14ac:dyDescent="0.3">
      <c r="A634" t="s">
        <v>716</v>
      </c>
      <c r="B634" t="s">
        <v>515</v>
      </c>
      <c r="C634" t="s">
        <v>673</v>
      </c>
      <c r="D634">
        <v>0</v>
      </c>
      <c r="E634">
        <v>0</v>
      </c>
      <c r="F634">
        <v>0</v>
      </c>
      <c r="G634">
        <v>2</v>
      </c>
      <c r="H634">
        <v>0</v>
      </c>
      <c r="I634">
        <v>1</v>
      </c>
      <c r="J634">
        <v>0</v>
      </c>
      <c r="K634" t="s">
        <v>20</v>
      </c>
      <c r="L634">
        <v>9</v>
      </c>
      <c r="M634">
        <v>4691185</v>
      </c>
      <c r="N634">
        <v>0</v>
      </c>
      <c r="O634">
        <v>0</v>
      </c>
      <c r="P634">
        <v>42</v>
      </c>
      <c r="Q634" t="str">
        <f t="shared" ref="Q634:Q673" si="11">LOWER(A634) &amp;"@aect.dummy.in"</f>
        <v>24a95a6101@aect.dummy.in</v>
      </c>
    </row>
    <row r="635" spans="1:17" ht="14.4" x14ac:dyDescent="0.3">
      <c r="A635" t="s">
        <v>717</v>
      </c>
      <c r="B635" t="s">
        <v>515</v>
      </c>
      <c r="C635" t="s">
        <v>673</v>
      </c>
      <c r="D635">
        <v>1</v>
      </c>
      <c r="E635">
        <v>0</v>
      </c>
      <c r="F635">
        <v>5</v>
      </c>
      <c r="G635">
        <v>3</v>
      </c>
      <c r="H635">
        <v>0</v>
      </c>
      <c r="I635">
        <v>3</v>
      </c>
      <c r="J635">
        <v>1</v>
      </c>
      <c r="K635" t="s">
        <v>289</v>
      </c>
      <c r="L635">
        <v>0</v>
      </c>
      <c r="M635">
        <v>5000001</v>
      </c>
      <c r="N635">
        <v>0</v>
      </c>
      <c r="O635">
        <v>0</v>
      </c>
      <c r="P635">
        <v>73</v>
      </c>
      <c r="Q635" t="str">
        <f t="shared" si="11"/>
        <v>24a95a6108@aect.dummy.in</v>
      </c>
    </row>
    <row r="636" spans="1:17" ht="14.4" x14ac:dyDescent="0.3">
      <c r="A636" t="s">
        <v>718</v>
      </c>
      <c r="B636" t="s">
        <v>515</v>
      </c>
      <c r="C636" t="s">
        <v>673</v>
      </c>
      <c r="D636">
        <v>0</v>
      </c>
      <c r="E636">
        <v>0</v>
      </c>
      <c r="F636">
        <v>4</v>
      </c>
      <c r="G636">
        <v>4</v>
      </c>
      <c r="H636">
        <v>5</v>
      </c>
      <c r="I636">
        <v>3</v>
      </c>
      <c r="J636">
        <v>3</v>
      </c>
      <c r="K636" t="s">
        <v>81</v>
      </c>
      <c r="L636">
        <v>146</v>
      </c>
      <c r="M636">
        <v>858230</v>
      </c>
      <c r="N636">
        <v>72</v>
      </c>
      <c r="O636">
        <v>116</v>
      </c>
      <c r="P636">
        <v>545</v>
      </c>
      <c r="Q636" t="str">
        <f t="shared" si="11"/>
        <v>24a95a6109@aect.dummy.in</v>
      </c>
    </row>
    <row r="637" spans="1:17" ht="14.4" x14ac:dyDescent="0.3">
      <c r="A637" t="s">
        <v>719</v>
      </c>
      <c r="B637" t="s">
        <v>515</v>
      </c>
      <c r="C637" t="s">
        <v>673</v>
      </c>
      <c r="D637">
        <v>0</v>
      </c>
      <c r="E637">
        <v>0</v>
      </c>
      <c r="F637">
        <v>0</v>
      </c>
      <c r="G637">
        <v>2</v>
      </c>
      <c r="H637">
        <v>0</v>
      </c>
      <c r="I637">
        <v>1</v>
      </c>
      <c r="J637">
        <v>0</v>
      </c>
      <c r="K637" t="s">
        <v>20</v>
      </c>
      <c r="L637">
        <v>0</v>
      </c>
      <c r="M637">
        <v>5000001</v>
      </c>
      <c r="N637">
        <v>0</v>
      </c>
      <c r="O637">
        <v>0</v>
      </c>
      <c r="P637">
        <v>0</v>
      </c>
      <c r="Q637" t="str">
        <f t="shared" si="11"/>
        <v>24p35a0401@aect.dummy.in</v>
      </c>
    </row>
    <row r="638" spans="1:17" ht="14.4" x14ac:dyDescent="0.3">
      <c r="A638" t="s">
        <v>720</v>
      </c>
      <c r="B638" t="s">
        <v>515</v>
      </c>
      <c r="C638" t="s">
        <v>673</v>
      </c>
      <c r="D638">
        <v>0</v>
      </c>
      <c r="E638">
        <v>0</v>
      </c>
      <c r="F638">
        <v>0</v>
      </c>
      <c r="G638">
        <v>0</v>
      </c>
      <c r="H638">
        <v>0</v>
      </c>
      <c r="I638">
        <v>0</v>
      </c>
      <c r="J638">
        <v>0</v>
      </c>
      <c r="K638" t="s">
        <v>20</v>
      </c>
      <c r="L638">
        <v>0</v>
      </c>
      <c r="M638">
        <v>5000001</v>
      </c>
      <c r="N638">
        <v>0</v>
      </c>
      <c r="O638">
        <v>0</v>
      </c>
      <c r="P638">
        <v>0</v>
      </c>
      <c r="Q638" t="str">
        <f t="shared" si="11"/>
        <v>24p35a0402@aect.dummy.in</v>
      </c>
    </row>
    <row r="639" spans="1:17" ht="14.4" x14ac:dyDescent="0.3">
      <c r="A639" t="s">
        <v>721</v>
      </c>
      <c r="B639" t="s">
        <v>515</v>
      </c>
      <c r="C639" t="s">
        <v>673</v>
      </c>
      <c r="D639">
        <v>0</v>
      </c>
      <c r="E639">
        <v>0</v>
      </c>
      <c r="F639">
        <v>0</v>
      </c>
      <c r="G639">
        <v>0</v>
      </c>
      <c r="H639">
        <v>0</v>
      </c>
      <c r="I639">
        <v>0</v>
      </c>
      <c r="J639">
        <v>0</v>
      </c>
      <c r="K639" t="s">
        <v>20</v>
      </c>
      <c r="L639">
        <v>0</v>
      </c>
      <c r="M639">
        <v>5000001</v>
      </c>
      <c r="N639">
        <v>0</v>
      </c>
      <c r="O639">
        <v>0</v>
      </c>
      <c r="P639">
        <v>0</v>
      </c>
      <c r="Q639" t="str">
        <f t="shared" si="11"/>
        <v>24p35a0403@aect.dummy.in</v>
      </c>
    </row>
    <row r="640" spans="1:17" ht="14.4" x14ac:dyDescent="0.3">
      <c r="A640" t="s">
        <v>722</v>
      </c>
      <c r="B640" t="s">
        <v>515</v>
      </c>
      <c r="C640" t="s">
        <v>673</v>
      </c>
      <c r="D640">
        <v>0</v>
      </c>
      <c r="E640">
        <v>0</v>
      </c>
      <c r="F640">
        <v>0</v>
      </c>
      <c r="G640">
        <v>0</v>
      </c>
      <c r="H640">
        <v>0</v>
      </c>
      <c r="I640">
        <v>0</v>
      </c>
      <c r="J640">
        <v>0</v>
      </c>
      <c r="K640" t="s">
        <v>20</v>
      </c>
      <c r="L640">
        <v>0</v>
      </c>
      <c r="M640">
        <v>5000001</v>
      </c>
      <c r="N640">
        <v>0</v>
      </c>
      <c r="O640">
        <v>0</v>
      </c>
      <c r="P640">
        <v>0</v>
      </c>
      <c r="Q640" t="str">
        <f t="shared" si="11"/>
        <v>24p35a0407@aect.dummy.in</v>
      </c>
    </row>
    <row r="641" spans="1:17" ht="14.4" x14ac:dyDescent="0.3">
      <c r="A641" t="s">
        <v>723</v>
      </c>
      <c r="B641" t="s">
        <v>515</v>
      </c>
      <c r="C641" t="s">
        <v>673</v>
      </c>
      <c r="D641">
        <v>0</v>
      </c>
      <c r="E641">
        <v>0</v>
      </c>
      <c r="F641">
        <v>0</v>
      </c>
      <c r="G641">
        <v>2</v>
      </c>
      <c r="H641">
        <v>0</v>
      </c>
      <c r="I641">
        <v>1</v>
      </c>
      <c r="J641">
        <v>0</v>
      </c>
      <c r="K641" t="s">
        <v>20</v>
      </c>
      <c r="L641">
        <v>0</v>
      </c>
      <c r="M641">
        <v>5000001</v>
      </c>
      <c r="N641">
        <v>0</v>
      </c>
      <c r="O641">
        <v>0</v>
      </c>
      <c r="P641">
        <v>0</v>
      </c>
      <c r="Q641" t="str">
        <f t="shared" si="11"/>
        <v>24p35a0413@aect.dummy.in</v>
      </c>
    </row>
    <row r="642" spans="1:17" ht="14.4" x14ac:dyDescent="0.3">
      <c r="A642" t="s">
        <v>724</v>
      </c>
      <c r="B642" t="s">
        <v>515</v>
      </c>
      <c r="C642" t="s">
        <v>673</v>
      </c>
      <c r="D642">
        <v>0</v>
      </c>
      <c r="E642">
        <v>0</v>
      </c>
      <c r="F642">
        <v>0</v>
      </c>
      <c r="G642">
        <v>0</v>
      </c>
      <c r="H642">
        <v>0</v>
      </c>
      <c r="I642">
        <v>0</v>
      </c>
      <c r="J642">
        <v>0</v>
      </c>
      <c r="K642" t="s">
        <v>20</v>
      </c>
      <c r="L642">
        <v>0</v>
      </c>
      <c r="M642">
        <v>5000001</v>
      </c>
      <c r="N642">
        <v>0</v>
      </c>
      <c r="O642">
        <v>0</v>
      </c>
      <c r="P642">
        <v>0</v>
      </c>
      <c r="Q642" t="str">
        <f t="shared" si="11"/>
        <v>24p35a0422@aect.dummy.in</v>
      </c>
    </row>
    <row r="643" spans="1:17" ht="14.4" x14ac:dyDescent="0.3">
      <c r="A643" t="s">
        <v>725</v>
      </c>
      <c r="B643" t="s">
        <v>515</v>
      </c>
      <c r="C643" t="s">
        <v>673</v>
      </c>
      <c r="D643">
        <v>0</v>
      </c>
      <c r="E643">
        <v>0</v>
      </c>
      <c r="F643">
        <v>0</v>
      </c>
      <c r="G643">
        <v>0</v>
      </c>
      <c r="H643">
        <v>0</v>
      </c>
      <c r="I643">
        <v>0</v>
      </c>
      <c r="J643">
        <v>0</v>
      </c>
      <c r="K643" t="s">
        <v>20</v>
      </c>
      <c r="L643">
        <v>0</v>
      </c>
      <c r="M643">
        <v>5000001</v>
      </c>
      <c r="N643">
        <v>0</v>
      </c>
      <c r="O643">
        <v>0</v>
      </c>
      <c r="P643">
        <v>21</v>
      </c>
      <c r="Q643" t="str">
        <f t="shared" si="11"/>
        <v>24p35a0430@aect.dummy.in</v>
      </c>
    </row>
    <row r="644" spans="1:17" ht="14.4" x14ac:dyDescent="0.3">
      <c r="A644" t="s">
        <v>726</v>
      </c>
      <c r="B644" t="s">
        <v>515</v>
      </c>
      <c r="C644" t="s">
        <v>673</v>
      </c>
      <c r="D644">
        <v>0</v>
      </c>
      <c r="E644">
        <v>0</v>
      </c>
      <c r="F644">
        <v>0</v>
      </c>
      <c r="G644">
        <v>2</v>
      </c>
      <c r="H644">
        <v>0</v>
      </c>
      <c r="I644">
        <v>1</v>
      </c>
      <c r="J644">
        <v>0</v>
      </c>
      <c r="K644" t="s">
        <v>20</v>
      </c>
      <c r="L644">
        <v>0</v>
      </c>
      <c r="M644">
        <v>5000001</v>
      </c>
      <c r="N644">
        <v>0</v>
      </c>
      <c r="O644">
        <v>0</v>
      </c>
      <c r="P644">
        <v>0</v>
      </c>
      <c r="Q644" t="str">
        <f t="shared" si="11"/>
        <v>24p35a0431@aect.dummy.in</v>
      </c>
    </row>
    <row r="645" spans="1:17" ht="14.4" x14ac:dyDescent="0.3">
      <c r="A645" t="s">
        <v>727</v>
      </c>
      <c r="B645" t="s">
        <v>515</v>
      </c>
      <c r="C645" t="s">
        <v>673</v>
      </c>
      <c r="D645">
        <v>0</v>
      </c>
      <c r="E645">
        <v>0</v>
      </c>
      <c r="F645">
        <v>0</v>
      </c>
      <c r="G645">
        <v>0</v>
      </c>
      <c r="H645">
        <v>0</v>
      </c>
      <c r="I645">
        <v>0</v>
      </c>
      <c r="J645">
        <v>0</v>
      </c>
      <c r="K645" t="s">
        <v>20</v>
      </c>
      <c r="L645">
        <v>0</v>
      </c>
      <c r="M645">
        <v>5000001</v>
      </c>
      <c r="N645">
        <v>0</v>
      </c>
      <c r="O645">
        <v>0</v>
      </c>
      <c r="P645">
        <v>0</v>
      </c>
      <c r="Q645" t="str">
        <f t="shared" si="11"/>
        <v>24p35a0436@aect.dummy.in</v>
      </c>
    </row>
    <row r="646" spans="1:17" ht="14.4" x14ac:dyDescent="0.3">
      <c r="A646" t="s">
        <v>728</v>
      </c>
      <c r="B646" t="s">
        <v>515</v>
      </c>
      <c r="C646" t="s">
        <v>673</v>
      </c>
      <c r="D646">
        <v>2</v>
      </c>
      <c r="E646">
        <v>0</v>
      </c>
      <c r="F646">
        <v>0</v>
      </c>
      <c r="G646">
        <v>0</v>
      </c>
      <c r="H646">
        <v>0</v>
      </c>
      <c r="I646">
        <v>1</v>
      </c>
      <c r="J646">
        <v>0</v>
      </c>
      <c r="K646" t="s">
        <v>20</v>
      </c>
      <c r="L646">
        <v>0</v>
      </c>
      <c r="M646">
        <v>5000001</v>
      </c>
      <c r="N646">
        <v>0</v>
      </c>
      <c r="O646">
        <v>0</v>
      </c>
      <c r="P646">
        <v>111</v>
      </c>
      <c r="Q646" t="str">
        <f t="shared" si="11"/>
        <v>24p35a0513@aect.dummy.in</v>
      </c>
    </row>
    <row r="647" spans="1:17" ht="14.4" x14ac:dyDescent="0.3">
      <c r="A647" t="s">
        <v>729</v>
      </c>
      <c r="B647" t="s">
        <v>515</v>
      </c>
      <c r="C647" t="s">
        <v>673</v>
      </c>
      <c r="D647">
        <v>0</v>
      </c>
      <c r="E647">
        <v>0</v>
      </c>
      <c r="F647">
        <v>0</v>
      </c>
      <c r="G647">
        <v>1</v>
      </c>
      <c r="H647">
        <v>0</v>
      </c>
      <c r="I647">
        <v>1</v>
      </c>
      <c r="J647">
        <v>0</v>
      </c>
      <c r="K647" t="s">
        <v>20</v>
      </c>
      <c r="L647">
        <v>13</v>
      </c>
      <c r="M647">
        <v>4029785</v>
      </c>
      <c r="N647">
        <v>0</v>
      </c>
      <c r="O647">
        <v>0</v>
      </c>
      <c r="P647">
        <v>0</v>
      </c>
      <c r="Q647" t="str">
        <f t="shared" si="11"/>
        <v>24p35a0514@aect.dummy.in</v>
      </c>
    </row>
    <row r="648" spans="1:17" ht="14.4" x14ac:dyDescent="0.3">
      <c r="A648" t="s">
        <v>730</v>
      </c>
      <c r="B648" t="s">
        <v>515</v>
      </c>
      <c r="C648" t="s">
        <v>673</v>
      </c>
      <c r="D648">
        <v>0</v>
      </c>
      <c r="E648">
        <v>0</v>
      </c>
      <c r="F648">
        <v>0</v>
      </c>
      <c r="G648">
        <v>0</v>
      </c>
      <c r="H648">
        <v>0</v>
      </c>
      <c r="I648">
        <v>0</v>
      </c>
      <c r="J648">
        <v>0</v>
      </c>
      <c r="K648" t="s">
        <v>20</v>
      </c>
      <c r="L648">
        <v>0</v>
      </c>
      <c r="M648">
        <v>5000001</v>
      </c>
      <c r="N648">
        <v>0</v>
      </c>
      <c r="O648">
        <v>0</v>
      </c>
      <c r="P648">
        <v>0</v>
      </c>
      <c r="Q648" t="str">
        <f t="shared" si="11"/>
        <v>24p35a0518@aect.dummy.in</v>
      </c>
    </row>
    <row r="649" spans="1:17" ht="14.4" x14ac:dyDescent="0.3">
      <c r="A649" t="s">
        <v>731</v>
      </c>
      <c r="B649" t="s">
        <v>515</v>
      </c>
      <c r="C649" t="s">
        <v>673</v>
      </c>
      <c r="D649">
        <v>0</v>
      </c>
      <c r="E649">
        <v>0</v>
      </c>
      <c r="F649">
        <v>0</v>
      </c>
      <c r="G649">
        <v>3</v>
      </c>
      <c r="H649">
        <v>0</v>
      </c>
      <c r="I649">
        <v>1</v>
      </c>
      <c r="J649">
        <v>0</v>
      </c>
      <c r="K649" t="s">
        <v>20</v>
      </c>
      <c r="L649">
        <v>15</v>
      </c>
      <c r="M649">
        <v>3776132</v>
      </c>
      <c r="N649">
        <v>1</v>
      </c>
      <c r="O649">
        <v>1</v>
      </c>
      <c r="P649">
        <v>679</v>
      </c>
      <c r="Q649" t="str">
        <f t="shared" si="11"/>
        <v>24p35a0519@aect.dummy.in</v>
      </c>
    </row>
    <row r="650" spans="1:17" ht="14.4" x14ac:dyDescent="0.3">
      <c r="A650" t="s">
        <v>732</v>
      </c>
      <c r="B650" t="s">
        <v>515</v>
      </c>
      <c r="C650" t="s">
        <v>673</v>
      </c>
      <c r="D650">
        <v>0</v>
      </c>
      <c r="E650">
        <v>0</v>
      </c>
      <c r="F650">
        <v>0</v>
      </c>
      <c r="G650">
        <v>0</v>
      </c>
      <c r="H650">
        <v>0</v>
      </c>
      <c r="I650">
        <v>0</v>
      </c>
      <c r="J650">
        <v>0</v>
      </c>
      <c r="K650" t="s">
        <v>20</v>
      </c>
      <c r="L650">
        <v>0</v>
      </c>
      <c r="M650">
        <v>5000001</v>
      </c>
      <c r="N650">
        <v>0</v>
      </c>
      <c r="O650">
        <v>0</v>
      </c>
      <c r="P650">
        <v>0</v>
      </c>
      <c r="Q650" t="str">
        <f t="shared" si="11"/>
        <v>24p35a0520@aect.dummy.in</v>
      </c>
    </row>
    <row r="651" spans="1:17" ht="14.4" x14ac:dyDescent="0.3">
      <c r="A651" t="s">
        <v>733</v>
      </c>
      <c r="B651" t="s">
        <v>515</v>
      </c>
      <c r="C651" t="s">
        <v>19</v>
      </c>
      <c r="D651">
        <v>0</v>
      </c>
      <c r="E651">
        <v>0</v>
      </c>
      <c r="F651">
        <v>0</v>
      </c>
      <c r="G651">
        <v>0</v>
      </c>
      <c r="H651">
        <v>0</v>
      </c>
      <c r="I651">
        <v>0</v>
      </c>
      <c r="J651">
        <v>0</v>
      </c>
      <c r="K651" t="s">
        <v>20</v>
      </c>
      <c r="L651">
        <v>0</v>
      </c>
      <c r="M651">
        <v>5000001</v>
      </c>
      <c r="N651">
        <v>0</v>
      </c>
      <c r="O651">
        <v>0</v>
      </c>
      <c r="P651">
        <v>0</v>
      </c>
      <c r="Q651" t="str">
        <f t="shared" si="11"/>
        <v>24p35a0521@aect.dummy.in</v>
      </c>
    </row>
    <row r="652" spans="1:17" ht="14.4" x14ac:dyDescent="0.3">
      <c r="A652" t="s">
        <v>734</v>
      </c>
      <c r="B652" t="s">
        <v>515</v>
      </c>
      <c r="C652" t="s">
        <v>19</v>
      </c>
      <c r="D652">
        <v>0</v>
      </c>
      <c r="E652">
        <v>0</v>
      </c>
      <c r="F652">
        <v>3</v>
      </c>
      <c r="G652">
        <v>2</v>
      </c>
      <c r="H652">
        <v>0</v>
      </c>
      <c r="I652">
        <v>2</v>
      </c>
      <c r="J652">
        <v>0</v>
      </c>
      <c r="K652" t="s">
        <v>20</v>
      </c>
      <c r="L652">
        <v>6</v>
      </c>
      <c r="M652">
        <v>5000001</v>
      </c>
      <c r="N652">
        <v>3</v>
      </c>
      <c r="O652">
        <v>5</v>
      </c>
      <c r="P652">
        <v>28</v>
      </c>
      <c r="Q652" t="str">
        <f t="shared" si="11"/>
        <v>24p35a0530@aect.dummy.in</v>
      </c>
    </row>
    <row r="653" spans="1:17" ht="14.4" x14ac:dyDescent="0.3">
      <c r="A653" t="s">
        <v>735</v>
      </c>
      <c r="B653" t="s">
        <v>515</v>
      </c>
      <c r="C653" t="s">
        <v>19</v>
      </c>
      <c r="D653">
        <v>0</v>
      </c>
      <c r="E653">
        <v>0</v>
      </c>
      <c r="F653">
        <v>0</v>
      </c>
      <c r="G653">
        <v>0</v>
      </c>
      <c r="H653">
        <v>0</v>
      </c>
      <c r="I653">
        <v>0</v>
      </c>
      <c r="J653">
        <v>1</v>
      </c>
      <c r="K653" t="s">
        <v>247</v>
      </c>
      <c r="L653">
        <v>0</v>
      </c>
      <c r="M653">
        <v>5000001</v>
      </c>
      <c r="N653">
        <v>1</v>
      </c>
      <c r="O653">
        <v>2</v>
      </c>
      <c r="P653">
        <v>175</v>
      </c>
      <c r="Q653" t="str">
        <f t="shared" si="11"/>
        <v>24p35a0531@aect.dummy.in</v>
      </c>
    </row>
    <row r="654" spans="1:17" ht="14.4" x14ac:dyDescent="0.3">
      <c r="A654" t="s">
        <v>736</v>
      </c>
      <c r="B654" t="s">
        <v>515</v>
      </c>
      <c r="C654" t="s">
        <v>19</v>
      </c>
      <c r="D654">
        <v>3</v>
      </c>
      <c r="E654">
        <v>0</v>
      </c>
      <c r="F654">
        <v>0</v>
      </c>
      <c r="G654">
        <v>0</v>
      </c>
      <c r="H654">
        <v>0</v>
      </c>
      <c r="I654">
        <v>1</v>
      </c>
      <c r="J654">
        <v>0</v>
      </c>
      <c r="K654" t="s">
        <v>20</v>
      </c>
      <c r="L654">
        <v>0</v>
      </c>
      <c r="M654">
        <v>5000001</v>
      </c>
      <c r="N654">
        <v>0</v>
      </c>
      <c r="O654">
        <v>0</v>
      </c>
      <c r="P654">
        <v>0</v>
      </c>
      <c r="Q654" t="str">
        <f t="shared" si="11"/>
        <v>24p35a0535@aect.dummy.in</v>
      </c>
    </row>
    <row r="655" spans="1:17" ht="14.4" x14ac:dyDescent="0.3">
      <c r="A655" t="s">
        <v>737</v>
      </c>
      <c r="B655" t="s">
        <v>515</v>
      </c>
      <c r="C655" t="s">
        <v>19</v>
      </c>
      <c r="D655">
        <v>0</v>
      </c>
      <c r="E655">
        <v>0</v>
      </c>
      <c r="F655">
        <v>0</v>
      </c>
      <c r="G655">
        <v>5</v>
      </c>
      <c r="H655">
        <v>0</v>
      </c>
      <c r="I655">
        <v>1</v>
      </c>
      <c r="J655">
        <v>0</v>
      </c>
      <c r="K655" t="s">
        <v>20</v>
      </c>
      <c r="L655">
        <v>0</v>
      </c>
      <c r="M655">
        <v>5000001</v>
      </c>
      <c r="N655">
        <v>0</v>
      </c>
      <c r="O655">
        <v>0</v>
      </c>
      <c r="P655">
        <v>0</v>
      </c>
      <c r="Q655" t="str">
        <f t="shared" si="11"/>
        <v>24p35a0539@aect.dummy.in</v>
      </c>
    </row>
    <row r="656" spans="1:17" ht="14.4" x14ac:dyDescent="0.3">
      <c r="A656" t="s">
        <v>738</v>
      </c>
      <c r="B656" t="s">
        <v>515</v>
      </c>
      <c r="C656" t="s">
        <v>19</v>
      </c>
      <c r="D656">
        <v>0</v>
      </c>
      <c r="E656">
        <v>0</v>
      </c>
      <c r="F656">
        <v>0</v>
      </c>
      <c r="G656">
        <v>3</v>
      </c>
      <c r="H656">
        <v>0</v>
      </c>
      <c r="I656">
        <v>1</v>
      </c>
      <c r="J656">
        <v>0</v>
      </c>
      <c r="K656" t="s">
        <v>20</v>
      </c>
      <c r="L656">
        <v>14</v>
      </c>
      <c r="M656">
        <v>3909665</v>
      </c>
      <c r="N656">
        <v>0</v>
      </c>
      <c r="O656">
        <v>0</v>
      </c>
      <c r="P656">
        <v>60</v>
      </c>
      <c r="Q656" t="str">
        <f t="shared" si="11"/>
        <v>24p35a0541@aect.dummy.in</v>
      </c>
    </row>
    <row r="657" spans="1:17" ht="14.4" x14ac:dyDescent="0.3">
      <c r="A657" t="s">
        <v>739</v>
      </c>
      <c r="B657" t="s">
        <v>515</v>
      </c>
      <c r="C657" t="s">
        <v>19</v>
      </c>
      <c r="D657">
        <v>0</v>
      </c>
      <c r="E657">
        <v>0</v>
      </c>
      <c r="F657">
        <v>0</v>
      </c>
      <c r="G657">
        <v>0</v>
      </c>
      <c r="H657">
        <v>4</v>
      </c>
      <c r="I657">
        <v>1</v>
      </c>
      <c r="J657">
        <v>1</v>
      </c>
      <c r="K657" t="s">
        <v>71</v>
      </c>
      <c r="L657">
        <v>32</v>
      </c>
      <c r="M657">
        <v>2589137</v>
      </c>
      <c r="N657">
        <v>0</v>
      </c>
      <c r="O657">
        <v>0</v>
      </c>
      <c r="P657">
        <v>45</v>
      </c>
      <c r="Q657" t="str">
        <f t="shared" si="11"/>
        <v>24p35a0545@aect.dummy.in</v>
      </c>
    </row>
    <row r="658" spans="1:17" ht="14.4" x14ac:dyDescent="0.3">
      <c r="A658" t="s">
        <v>740</v>
      </c>
      <c r="B658" t="s">
        <v>515</v>
      </c>
      <c r="C658" t="s">
        <v>19</v>
      </c>
      <c r="D658">
        <v>0</v>
      </c>
      <c r="E658">
        <v>0</v>
      </c>
      <c r="F658">
        <v>0</v>
      </c>
      <c r="G658">
        <v>0</v>
      </c>
      <c r="H658">
        <v>0</v>
      </c>
      <c r="I658">
        <v>0</v>
      </c>
      <c r="J658">
        <v>0</v>
      </c>
      <c r="K658" t="s">
        <v>20</v>
      </c>
      <c r="L658">
        <v>0</v>
      </c>
      <c r="M658">
        <v>5000001</v>
      </c>
      <c r="N658">
        <v>0</v>
      </c>
      <c r="O658">
        <v>0</v>
      </c>
      <c r="P658">
        <v>0</v>
      </c>
      <c r="Q658" t="str">
        <f t="shared" si="11"/>
        <v>24p35a0549@aect.dummy.in</v>
      </c>
    </row>
    <row r="659" spans="1:17" ht="14.4" x14ac:dyDescent="0.3">
      <c r="A659" t="s">
        <v>741</v>
      </c>
      <c r="B659" t="s">
        <v>515</v>
      </c>
      <c r="C659" t="s">
        <v>19</v>
      </c>
      <c r="D659">
        <v>0</v>
      </c>
      <c r="E659">
        <v>0</v>
      </c>
      <c r="F659">
        <v>0</v>
      </c>
      <c r="G659">
        <v>0</v>
      </c>
      <c r="H659">
        <v>0</v>
      </c>
      <c r="I659">
        <v>0</v>
      </c>
      <c r="J659">
        <v>0</v>
      </c>
      <c r="K659" t="s">
        <v>20</v>
      </c>
      <c r="L659">
        <v>0</v>
      </c>
      <c r="M659">
        <v>5000001</v>
      </c>
      <c r="N659">
        <v>0</v>
      </c>
      <c r="O659">
        <v>0</v>
      </c>
      <c r="P659">
        <v>0</v>
      </c>
      <c r="Q659" t="str">
        <f t="shared" si="11"/>
        <v>24p35a0550@aect.dummy.in</v>
      </c>
    </row>
    <row r="660" spans="1:17" ht="14.4" x14ac:dyDescent="0.3">
      <c r="A660" t="s">
        <v>742</v>
      </c>
      <c r="B660" t="s">
        <v>515</v>
      </c>
      <c r="C660" t="s">
        <v>19</v>
      </c>
      <c r="D660">
        <v>4</v>
      </c>
      <c r="E660">
        <v>0</v>
      </c>
      <c r="F660">
        <v>0</v>
      </c>
      <c r="G660">
        <v>5</v>
      </c>
      <c r="H660">
        <v>3</v>
      </c>
      <c r="I660">
        <v>3</v>
      </c>
      <c r="J660">
        <v>4</v>
      </c>
      <c r="K660" t="s">
        <v>743</v>
      </c>
      <c r="L660">
        <v>29</v>
      </c>
      <c r="M660">
        <v>2728003</v>
      </c>
      <c r="N660">
        <v>2</v>
      </c>
      <c r="O660">
        <v>6</v>
      </c>
      <c r="P660">
        <v>233</v>
      </c>
      <c r="Q660" t="str">
        <f t="shared" si="11"/>
        <v>24p35a0553@aect.dummy.in</v>
      </c>
    </row>
    <row r="661" spans="1:17" ht="14.4" x14ac:dyDescent="0.3">
      <c r="A661" t="s">
        <v>744</v>
      </c>
      <c r="B661" t="s">
        <v>515</v>
      </c>
      <c r="C661" t="s">
        <v>19</v>
      </c>
      <c r="D661">
        <v>0</v>
      </c>
      <c r="E661">
        <v>0</v>
      </c>
      <c r="F661">
        <v>0</v>
      </c>
      <c r="G661">
        <v>0</v>
      </c>
      <c r="H661">
        <v>0</v>
      </c>
      <c r="I661">
        <v>0</v>
      </c>
      <c r="J661">
        <v>0</v>
      </c>
      <c r="K661" t="s">
        <v>20</v>
      </c>
      <c r="L661">
        <v>0</v>
      </c>
      <c r="M661">
        <v>5000001</v>
      </c>
      <c r="N661">
        <v>0</v>
      </c>
      <c r="O661">
        <v>0</v>
      </c>
      <c r="P661">
        <v>29</v>
      </c>
      <c r="Q661" t="str">
        <f t="shared" si="11"/>
        <v>24p35a0555@aect.dummy.in</v>
      </c>
    </row>
    <row r="662" spans="1:17" ht="14.4" x14ac:dyDescent="0.3">
      <c r="A662" t="s">
        <v>745</v>
      </c>
      <c r="B662" t="s">
        <v>515</v>
      </c>
      <c r="C662" t="s">
        <v>36</v>
      </c>
      <c r="D662">
        <v>0</v>
      </c>
      <c r="E662">
        <v>0</v>
      </c>
      <c r="F662">
        <v>1</v>
      </c>
      <c r="G662">
        <v>0</v>
      </c>
      <c r="H662">
        <v>1</v>
      </c>
      <c r="I662">
        <v>2</v>
      </c>
      <c r="J662">
        <v>0</v>
      </c>
      <c r="K662" t="s">
        <v>20</v>
      </c>
      <c r="L662">
        <v>8</v>
      </c>
      <c r="M662">
        <v>4867821</v>
      </c>
      <c r="N662">
        <v>5</v>
      </c>
      <c r="O662">
        <v>9</v>
      </c>
      <c r="P662">
        <v>94</v>
      </c>
      <c r="Q662" t="str">
        <f t="shared" si="11"/>
        <v>24p35a0557@aect.dummy.in</v>
      </c>
    </row>
    <row r="663" spans="1:17" ht="14.4" x14ac:dyDescent="0.3">
      <c r="A663" t="s">
        <v>746</v>
      </c>
      <c r="B663" t="s">
        <v>515</v>
      </c>
      <c r="C663" t="s">
        <v>36</v>
      </c>
      <c r="D663">
        <v>0</v>
      </c>
      <c r="E663">
        <v>0</v>
      </c>
      <c r="F663">
        <v>0</v>
      </c>
      <c r="G663">
        <v>1</v>
      </c>
      <c r="H663">
        <v>0</v>
      </c>
      <c r="I663">
        <v>1</v>
      </c>
      <c r="J663">
        <v>0</v>
      </c>
      <c r="K663" t="s">
        <v>20</v>
      </c>
      <c r="L663">
        <v>0</v>
      </c>
      <c r="M663">
        <v>5000001</v>
      </c>
      <c r="N663">
        <v>0</v>
      </c>
      <c r="O663">
        <v>0</v>
      </c>
      <c r="P663">
        <v>0</v>
      </c>
      <c r="Q663" t="str">
        <f t="shared" si="11"/>
        <v>24p35a1204@aect.dummy.in</v>
      </c>
    </row>
    <row r="664" spans="1:17" ht="14.4" x14ac:dyDescent="0.3">
      <c r="A664" t="s">
        <v>747</v>
      </c>
      <c r="B664" t="s">
        <v>515</v>
      </c>
      <c r="C664" t="s">
        <v>36</v>
      </c>
      <c r="D664">
        <v>2</v>
      </c>
      <c r="E664">
        <v>0</v>
      </c>
      <c r="F664">
        <v>0</v>
      </c>
      <c r="G664">
        <v>0</v>
      </c>
      <c r="H664">
        <v>0</v>
      </c>
      <c r="I664">
        <v>1</v>
      </c>
      <c r="J664">
        <v>0</v>
      </c>
      <c r="K664" t="s">
        <v>20</v>
      </c>
      <c r="L664">
        <v>0</v>
      </c>
      <c r="M664">
        <v>5000001</v>
      </c>
      <c r="N664">
        <v>0</v>
      </c>
      <c r="O664">
        <v>0</v>
      </c>
      <c r="P664">
        <v>29</v>
      </c>
      <c r="Q664" t="str">
        <f t="shared" si="11"/>
        <v>24p35a4203@aect.dummy.in</v>
      </c>
    </row>
    <row r="665" spans="1:17" ht="14.4" x14ac:dyDescent="0.3">
      <c r="A665" t="s">
        <v>748</v>
      </c>
      <c r="B665" t="s">
        <v>515</v>
      </c>
      <c r="C665" t="s">
        <v>36</v>
      </c>
      <c r="D665">
        <v>0</v>
      </c>
      <c r="E665">
        <v>0</v>
      </c>
      <c r="F665">
        <v>0</v>
      </c>
      <c r="G665">
        <v>0</v>
      </c>
      <c r="H665">
        <v>0</v>
      </c>
      <c r="I665">
        <v>0</v>
      </c>
      <c r="J665">
        <v>0</v>
      </c>
      <c r="K665" t="s">
        <v>20</v>
      </c>
      <c r="L665">
        <v>12</v>
      </c>
      <c r="M665">
        <v>4178493</v>
      </c>
      <c r="N665">
        <v>0</v>
      </c>
      <c r="O665">
        <v>0</v>
      </c>
      <c r="P665">
        <v>0</v>
      </c>
      <c r="Q665" t="str">
        <f t="shared" si="11"/>
        <v>24p35a4213@aect.dummy.in</v>
      </c>
    </row>
    <row r="666" spans="1:17" ht="14.4" x14ac:dyDescent="0.3">
      <c r="A666" t="s">
        <v>749</v>
      </c>
      <c r="B666" t="s">
        <v>515</v>
      </c>
      <c r="C666" t="s">
        <v>36</v>
      </c>
      <c r="D666">
        <v>0</v>
      </c>
      <c r="E666">
        <v>0</v>
      </c>
      <c r="F666">
        <v>0</v>
      </c>
      <c r="G666">
        <v>2</v>
      </c>
      <c r="H666">
        <v>0</v>
      </c>
      <c r="I666">
        <v>1</v>
      </c>
      <c r="J666">
        <v>1</v>
      </c>
      <c r="K666" t="s">
        <v>247</v>
      </c>
      <c r="L666">
        <v>0</v>
      </c>
      <c r="M666">
        <v>5000001</v>
      </c>
      <c r="N666">
        <v>0</v>
      </c>
      <c r="O666">
        <v>0</v>
      </c>
      <c r="P666">
        <v>74</v>
      </c>
      <c r="Q666" t="str">
        <f t="shared" si="11"/>
        <v>24p35a4216@aect.dummy.in</v>
      </c>
    </row>
    <row r="667" spans="1:17" ht="14.4" x14ac:dyDescent="0.3">
      <c r="A667" t="s">
        <v>750</v>
      </c>
      <c r="B667" t="s">
        <v>515</v>
      </c>
      <c r="C667" t="s">
        <v>36</v>
      </c>
      <c r="D667">
        <v>0</v>
      </c>
      <c r="E667">
        <v>0</v>
      </c>
      <c r="F667">
        <v>0</v>
      </c>
      <c r="G667">
        <v>0</v>
      </c>
      <c r="H667">
        <v>5</v>
      </c>
      <c r="I667">
        <v>2</v>
      </c>
      <c r="J667">
        <v>4</v>
      </c>
      <c r="K667" t="s">
        <v>751</v>
      </c>
      <c r="L667">
        <v>25</v>
      </c>
      <c r="M667">
        <v>2954078</v>
      </c>
      <c r="N667">
        <v>0</v>
      </c>
      <c r="O667">
        <v>0</v>
      </c>
      <c r="P667">
        <v>151</v>
      </c>
      <c r="Q667" t="str">
        <f t="shared" si="11"/>
        <v>24p35a4225@aect.dummy.in</v>
      </c>
    </row>
    <row r="668" spans="1:17" ht="14.4" x14ac:dyDescent="0.3">
      <c r="A668" t="s">
        <v>752</v>
      </c>
      <c r="B668" t="s">
        <v>515</v>
      </c>
      <c r="C668" t="s">
        <v>36</v>
      </c>
      <c r="D668">
        <v>0</v>
      </c>
      <c r="E668">
        <v>0</v>
      </c>
      <c r="F668">
        <v>0</v>
      </c>
      <c r="G668">
        <v>1</v>
      </c>
      <c r="H668">
        <v>0</v>
      </c>
      <c r="I668">
        <v>1</v>
      </c>
      <c r="J668">
        <v>0</v>
      </c>
      <c r="K668" t="s">
        <v>20</v>
      </c>
      <c r="L668">
        <v>0</v>
      </c>
      <c r="M668">
        <v>5000001</v>
      </c>
      <c r="N668">
        <v>0</v>
      </c>
      <c r="O668">
        <v>0</v>
      </c>
      <c r="P668">
        <v>33</v>
      </c>
      <c r="Q668" t="str">
        <f t="shared" si="11"/>
        <v>24p35a4227@aect.dummy.in</v>
      </c>
    </row>
    <row r="669" spans="1:17" ht="14.4" x14ac:dyDescent="0.3">
      <c r="A669" t="s">
        <v>753</v>
      </c>
      <c r="B669" t="s">
        <v>515</v>
      </c>
      <c r="C669" t="s">
        <v>36</v>
      </c>
      <c r="D669">
        <v>0</v>
      </c>
      <c r="E669">
        <v>0</v>
      </c>
      <c r="F669">
        <v>0</v>
      </c>
      <c r="G669">
        <v>2</v>
      </c>
      <c r="H669">
        <v>0</v>
      </c>
      <c r="I669">
        <v>1</v>
      </c>
      <c r="J669">
        <v>0</v>
      </c>
      <c r="K669" t="s">
        <v>20</v>
      </c>
      <c r="L669">
        <v>0</v>
      </c>
      <c r="M669">
        <v>0</v>
      </c>
      <c r="N669">
        <v>0</v>
      </c>
      <c r="O669">
        <v>0</v>
      </c>
      <c r="P669">
        <v>99</v>
      </c>
      <c r="Q669" t="str">
        <f t="shared" si="11"/>
        <v>24p35a4230@aect.dummy.in</v>
      </c>
    </row>
    <row r="670" spans="1:17" ht="14.4" x14ac:dyDescent="0.3">
      <c r="A670" t="s">
        <v>754</v>
      </c>
      <c r="B670" t="s">
        <v>515</v>
      </c>
      <c r="C670" t="s">
        <v>133</v>
      </c>
      <c r="D670">
        <v>0</v>
      </c>
      <c r="E670">
        <v>0</v>
      </c>
      <c r="F670">
        <v>0</v>
      </c>
      <c r="G670">
        <v>0</v>
      </c>
      <c r="H670">
        <v>0</v>
      </c>
      <c r="I670">
        <v>0</v>
      </c>
      <c r="J670">
        <v>0</v>
      </c>
      <c r="K670" t="s">
        <v>20</v>
      </c>
      <c r="L670">
        <v>3</v>
      </c>
      <c r="M670">
        <v>5000001</v>
      </c>
      <c r="N670">
        <v>0</v>
      </c>
      <c r="O670">
        <v>0</v>
      </c>
      <c r="P670">
        <v>1</v>
      </c>
      <c r="Q670" t="str">
        <f t="shared" si="11"/>
        <v>24p35a4232@aect.dummy.in</v>
      </c>
    </row>
    <row r="671" spans="1:17" ht="14.4" x14ac:dyDescent="0.3">
      <c r="A671" t="s">
        <v>755</v>
      </c>
      <c r="B671" t="s">
        <v>515</v>
      </c>
      <c r="C671" t="s">
        <v>673</v>
      </c>
      <c r="D671">
        <v>0</v>
      </c>
      <c r="E671">
        <v>0</v>
      </c>
      <c r="F671">
        <v>0</v>
      </c>
      <c r="G671">
        <v>0</v>
      </c>
      <c r="H671">
        <v>0</v>
      </c>
      <c r="I671">
        <v>0</v>
      </c>
      <c r="J671">
        <v>0</v>
      </c>
      <c r="K671" t="s">
        <v>20</v>
      </c>
      <c r="L671">
        <v>0</v>
      </c>
      <c r="M671">
        <v>5000001</v>
      </c>
      <c r="N671">
        <v>0</v>
      </c>
      <c r="O671">
        <v>0</v>
      </c>
      <c r="P671">
        <v>18</v>
      </c>
      <c r="Q671" t="str">
        <f t="shared" si="11"/>
        <v>24p35a4233@aect.dummy.in</v>
      </c>
    </row>
    <row r="672" spans="1:17" ht="14.4" x14ac:dyDescent="0.3">
      <c r="A672" t="s">
        <v>756</v>
      </c>
      <c r="B672" t="s">
        <v>515</v>
      </c>
      <c r="C672" t="s">
        <v>673</v>
      </c>
      <c r="D672">
        <v>3</v>
      </c>
      <c r="E672">
        <v>0</v>
      </c>
      <c r="F672">
        <v>5</v>
      </c>
      <c r="G672">
        <v>2</v>
      </c>
      <c r="H672">
        <v>0</v>
      </c>
      <c r="I672">
        <v>3</v>
      </c>
      <c r="J672">
        <v>1</v>
      </c>
      <c r="K672" t="s">
        <v>289</v>
      </c>
      <c r="L672">
        <v>1</v>
      </c>
      <c r="M672">
        <v>5000001</v>
      </c>
      <c r="N672">
        <v>0</v>
      </c>
      <c r="O672">
        <v>0</v>
      </c>
      <c r="P672">
        <v>0</v>
      </c>
      <c r="Q672" t="str">
        <f t="shared" si="11"/>
        <v>24p35a4237@aect.dummy.in</v>
      </c>
    </row>
    <row r="673" spans="1:17" ht="14.4" x14ac:dyDescent="0.3">
      <c r="A673" t="s">
        <v>757</v>
      </c>
      <c r="B673" t="s">
        <v>515</v>
      </c>
      <c r="C673" t="s">
        <v>673</v>
      </c>
      <c r="D673">
        <v>0</v>
      </c>
      <c r="E673">
        <v>0</v>
      </c>
      <c r="F673">
        <v>0</v>
      </c>
      <c r="G673">
        <v>0</v>
      </c>
      <c r="H673">
        <v>0</v>
      </c>
      <c r="I673">
        <v>0</v>
      </c>
      <c r="J673">
        <v>0</v>
      </c>
      <c r="K673" t="s">
        <v>20</v>
      </c>
      <c r="L673">
        <v>0</v>
      </c>
      <c r="M673">
        <v>5000001</v>
      </c>
      <c r="N673">
        <v>0</v>
      </c>
      <c r="O673">
        <v>0</v>
      </c>
      <c r="P673">
        <v>0</v>
      </c>
      <c r="Q673" t="str">
        <f t="shared" si="11"/>
        <v>24p35a4906@aect.dummy.in</v>
      </c>
    </row>
    <row r="674" spans="1:17" ht="15" customHeight="1" x14ac:dyDescent="0.3">
      <c r="L674">
        <f>SUM(StudentData[LC Program Count])</f>
        <v>42380</v>
      </c>
    </row>
  </sheetData>
  <pageMargins left="0.7" right="0.7" top="0.75" bottom="0.75" header="0.3" footer="0.3"/>
  <drawing r:id="rId1"/>
  <legacyDrawing r:id="rId2"/>
  <controls>
    <mc:AlternateContent xmlns:mc="http://schemas.openxmlformats.org/markup-compatibility/2006">
      <mc:Choice Requires="x14">
        <control shapeId="1030" r:id="rId3" name="ComboBox1">
          <controlPr defaultSize="0" autoLine="0" linkedCell="S25" listFillRange="A2:A673" r:id="rId4">
            <anchor moveWithCells="1">
              <from>
                <xdr:col>17</xdr:col>
                <xdr:colOff>0</xdr:colOff>
                <xdr:row>10</xdr:row>
                <xdr:rowOff>167640</xdr:rowOff>
              </from>
              <to>
                <xdr:col>18</xdr:col>
                <xdr:colOff>1021080</xdr:colOff>
                <xdr:row>13</xdr:row>
                <xdr:rowOff>7620</xdr:rowOff>
              </to>
            </anchor>
          </controlPr>
        </control>
      </mc:Choice>
      <mc:Fallback>
        <control shapeId="1030" r:id="rId3" name="ComboBox1"/>
      </mc:Fallback>
    </mc:AlternateContent>
    <mc:AlternateContent xmlns:mc="http://schemas.openxmlformats.org/markup-compatibility/2006">
      <mc:Choice Requires="x14">
        <control shapeId="1031" r:id="rId5" name="ComboBox2">
          <controlPr defaultSize="0" autoLine="0" linkedCell="V9" listFillRange="A2:A673" r:id="rId6">
            <anchor moveWithCells="1">
              <from>
                <xdr:col>20</xdr:col>
                <xdr:colOff>1303020</xdr:colOff>
                <xdr:row>11</xdr:row>
                <xdr:rowOff>15240</xdr:rowOff>
              </from>
              <to>
                <xdr:col>21</xdr:col>
                <xdr:colOff>7620</xdr:colOff>
                <xdr:row>12</xdr:row>
                <xdr:rowOff>152400</xdr:rowOff>
              </to>
            </anchor>
          </controlPr>
        </control>
      </mc:Choice>
      <mc:Fallback>
        <control shapeId="1031" r:id="rId5" name="ComboBox2"/>
      </mc:Fallback>
    </mc:AlternateContent>
  </controls>
  <tableParts count="1">
    <tablePart r:id="rId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69C2-D564-4D4D-ACDC-D0A15D7C00E4}">
  <sheetPr codeName="Sheet2"/>
  <dimension ref="B3:EB677"/>
  <sheetViews>
    <sheetView topLeftCell="W2" zoomScale="76" zoomScaleNormal="92" workbookViewId="0">
      <selection activeCell="F41" sqref="F41"/>
    </sheetView>
  </sheetViews>
  <sheetFormatPr defaultRowHeight="14.4" x14ac:dyDescent="0.3"/>
  <cols>
    <col min="2" max="2" width="24.109375" bestFit="1" customWidth="1"/>
    <col min="3" max="3" width="17.5546875" bestFit="1" customWidth="1"/>
    <col min="4" max="4" width="24.5546875" bestFit="1" customWidth="1"/>
    <col min="5" max="5" width="23.6640625" bestFit="1" customWidth="1"/>
    <col min="7" max="7" width="14.33203125" bestFit="1" customWidth="1"/>
    <col min="8" max="8" width="20.109375" bestFit="1" customWidth="1"/>
    <col min="9" max="9" width="23.44140625" bestFit="1" customWidth="1"/>
    <col min="11" max="11" width="11.44140625" bestFit="1" customWidth="1"/>
    <col min="12" max="12" width="18.6640625" bestFit="1" customWidth="1"/>
    <col min="14" max="14" width="14.33203125" bestFit="1" customWidth="1"/>
    <col min="15" max="15" width="31.109375" bestFit="1" customWidth="1"/>
    <col min="17" max="17" width="14.33203125" bestFit="1" customWidth="1"/>
    <col min="18" max="18" width="15" bestFit="1" customWidth="1"/>
    <col min="23" max="23" width="17.6640625" bestFit="1" customWidth="1"/>
    <col min="24" max="24" width="26.109375" customWidth="1"/>
    <col min="28" max="28" width="12.88671875" bestFit="1" customWidth="1"/>
    <col min="29" max="29" width="22.5546875" bestFit="1" customWidth="1"/>
    <col min="30" max="30" width="16.5546875" bestFit="1" customWidth="1"/>
    <col min="31" max="31" width="22.88671875" bestFit="1" customWidth="1"/>
    <col min="37" max="37" width="11.44140625" bestFit="1" customWidth="1"/>
    <col min="38" max="38" width="18.6640625" bestFit="1" customWidth="1"/>
    <col min="39" max="39" width="18.33203125" bestFit="1" customWidth="1"/>
    <col min="40" max="40" width="18.6640625" bestFit="1" customWidth="1"/>
    <col min="41" max="41" width="11" bestFit="1" customWidth="1"/>
    <col min="42" max="42" width="6.109375" bestFit="1" customWidth="1"/>
    <col min="43" max="43" width="4.88671875" bestFit="1" customWidth="1"/>
    <col min="44" max="44" width="11.44140625" bestFit="1" customWidth="1"/>
    <col min="46" max="46" width="11.44140625" bestFit="1" customWidth="1"/>
    <col min="47" max="47" width="18.109375" bestFit="1" customWidth="1"/>
    <col min="48" max="48" width="11.33203125" bestFit="1" customWidth="1"/>
    <col min="49" max="49" width="11.44140625" bestFit="1" customWidth="1"/>
    <col min="50" max="50" width="10.5546875" bestFit="1" customWidth="1"/>
    <col min="51" max="52" width="14" bestFit="1" customWidth="1"/>
    <col min="53" max="53" width="10.5546875" bestFit="1" customWidth="1"/>
    <col min="54" max="54" width="14" bestFit="1" customWidth="1"/>
    <col min="55" max="55" width="10.5546875" bestFit="1" customWidth="1"/>
    <col min="56" max="56" width="14" bestFit="1" customWidth="1"/>
    <col min="57" max="57" width="10.5546875" bestFit="1" customWidth="1"/>
    <col min="58" max="58" width="18.88671875" bestFit="1" customWidth="1"/>
    <col min="59" max="59" width="11.44140625" bestFit="1" customWidth="1"/>
    <col min="60" max="60" width="11" bestFit="1" customWidth="1"/>
    <col min="61" max="61" width="18.6640625" bestFit="1" customWidth="1"/>
    <col min="62" max="62" width="14" bestFit="1" customWidth="1"/>
    <col min="63" max="63" width="10.5546875" bestFit="1" customWidth="1"/>
    <col min="64" max="64" width="23.109375" bestFit="1" customWidth="1"/>
    <col min="65" max="65" width="18.88671875" bestFit="1" customWidth="1"/>
    <col min="66" max="66" width="15.44140625" bestFit="1" customWidth="1"/>
    <col min="67" max="67" width="18.6640625" bestFit="1" customWidth="1"/>
    <col min="68" max="68" width="7.88671875" bestFit="1" customWidth="1"/>
    <col min="69" max="69" width="8.109375" bestFit="1" customWidth="1"/>
    <col min="70" max="70" width="11.44140625" bestFit="1" customWidth="1"/>
    <col min="71" max="72" width="20.109375" bestFit="1" customWidth="1"/>
    <col min="73" max="73" width="3.109375" bestFit="1" customWidth="1"/>
    <col min="74" max="74" width="7" bestFit="1" customWidth="1"/>
    <col min="75" max="75" width="4.109375" bestFit="1" customWidth="1"/>
    <col min="76" max="79" width="2.33203125" bestFit="1" customWidth="1"/>
    <col min="80" max="80" width="7" bestFit="1" customWidth="1"/>
    <col min="81" max="81" width="11.44140625" bestFit="1" customWidth="1"/>
    <col min="82" max="83" width="20.109375" bestFit="1" customWidth="1"/>
    <col min="84" max="85" width="2.33203125" bestFit="1" customWidth="1"/>
    <col min="86" max="86" width="7" bestFit="1" customWidth="1"/>
    <col min="87" max="87" width="4.109375" bestFit="1" customWidth="1"/>
    <col min="88" max="91" width="2.33203125" bestFit="1" customWidth="1"/>
    <col min="92" max="92" width="7" bestFit="1" customWidth="1"/>
    <col min="93" max="93" width="4.109375" bestFit="1" customWidth="1"/>
    <col min="94" max="96" width="2.33203125" bestFit="1" customWidth="1"/>
    <col min="97" max="97" width="16.88671875" bestFit="1" customWidth="1"/>
    <col min="98" max="98" width="10.6640625" bestFit="1" customWidth="1"/>
    <col min="99" max="99" width="10.88671875" bestFit="1" customWidth="1"/>
    <col min="100" max="100" width="13" bestFit="1" customWidth="1"/>
    <col min="101" max="101" width="10.109375" bestFit="1" customWidth="1"/>
    <col min="102" max="102" width="24.5546875" bestFit="1" customWidth="1"/>
    <col min="103" max="103" width="17.5546875" bestFit="1" customWidth="1"/>
    <col min="104" max="104" width="24.109375" bestFit="1" customWidth="1"/>
    <col min="105" max="105" width="22.6640625" bestFit="1" customWidth="1"/>
    <col min="106" max="108" width="2.33203125" bestFit="1" customWidth="1"/>
    <col min="109" max="109" width="7" bestFit="1" customWidth="1"/>
    <col min="110" max="110" width="4.109375" bestFit="1" customWidth="1"/>
    <col min="111" max="115" width="2.33203125" bestFit="1" customWidth="1"/>
    <col min="116" max="116" width="7" bestFit="1" customWidth="1"/>
    <col min="117" max="117" width="4.109375" bestFit="1" customWidth="1"/>
    <col min="118" max="120" width="2.33203125" bestFit="1" customWidth="1"/>
    <col min="121" max="121" width="7" bestFit="1" customWidth="1"/>
    <col min="122" max="122" width="4.109375" bestFit="1" customWidth="1"/>
    <col min="123" max="125" width="2.33203125" bestFit="1" customWidth="1"/>
    <col min="126" max="126" width="7" bestFit="1" customWidth="1"/>
    <col min="127" max="127" width="4.109375" bestFit="1" customWidth="1"/>
    <col min="128" max="128" width="7" bestFit="1" customWidth="1"/>
    <col min="129" max="129" width="4.109375" bestFit="1" customWidth="1"/>
    <col min="130" max="130" width="2.33203125" bestFit="1" customWidth="1"/>
    <col min="131" max="131" width="13.33203125" bestFit="1" customWidth="1"/>
    <col min="132" max="132" width="22.33203125" bestFit="1" customWidth="1"/>
    <col min="133" max="133" width="4.109375" bestFit="1" customWidth="1"/>
    <col min="134" max="136" width="2.33203125" bestFit="1" customWidth="1"/>
    <col min="137" max="137" width="7" bestFit="1" customWidth="1"/>
    <col min="138" max="138" width="4.109375" bestFit="1" customWidth="1"/>
    <col min="139" max="141" width="2.33203125" bestFit="1" customWidth="1"/>
    <col min="142" max="142" width="7" bestFit="1" customWidth="1"/>
    <col min="143" max="143" width="4.109375" bestFit="1" customWidth="1"/>
    <col min="144" max="146" width="2.33203125" bestFit="1" customWidth="1"/>
    <col min="147" max="147" width="7" bestFit="1" customWidth="1"/>
    <col min="148" max="148" width="4.109375" bestFit="1" customWidth="1"/>
    <col min="149" max="152" width="2.33203125" bestFit="1" customWidth="1"/>
    <col min="153" max="153" width="7" bestFit="1" customWidth="1"/>
    <col min="154" max="154" width="4.109375" bestFit="1" customWidth="1"/>
    <col min="155" max="156" width="7" bestFit="1" customWidth="1"/>
    <col min="157" max="157" width="4.109375" bestFit="1" customWidth="1"/>
    <col min="158" max="161" width="2.33203125" bestFit="1" customWidth="1"/>
    <col min="162" max="162" width="7" bestFit="1" customWidth="1"/>
    <col min="163" max="163" width="4.109375" bestFit="1" customWidth="1"/>
    <col min="164" max="164" width="2.33203125" bestFit="1" customWidth="1"/>
    <col min="165" max="165" width="7" bestFit="1" customWidth="1"/>
    <col min="166" max="166" width="4.109375" bestFit="1" customWidth="1"/>
    <col min="167" max="169" width="2.33203125" bestFit="1" customWidth="1"/>
    <col min="170" max="170" width="7" bestFit="1" customWidth="1"/>
    <col min="171" max="171" width="4.109375" bestFit="1" customWidth="1"/>
    <col min="172" max="174" width="2.33203125" bestFit="1" customWidth="1"/>
    <col min="175" max="175" width="7" bestFit="1" customWidth="1"/>
    <col min="176" max="176" width="4.109375" bestFit="1" customWidth="1"/>
    <col min="177" max="178" width="2.33203125" bestFit="1" customWidth="1"/>
    <col min="179" max="179" width="7" bestFit="1" customWidth="1"/>
    <col min="180" max="180" width="4.109375" bestFit="1" customWidth="1"/>
    <col min="181" max="182" width="7" bestFit="1" customWidth="1"/>
    <col min="183" max="183" width="4.109375" bestFit="1" customWidth="1"/>
    <col min="184" max="184" width="7" bestFit="1" customWidth="1"/>
    <col min="185" max="185" width="4.109375" bestFit="1" customWidth="1"/>
    <col min="186" max="186" width="7" bestFit="1" customWidth="1"/>
    <col min="187" max="187" width="4.109375" bestFit="1" customWidth="1"/>
    <col min="188" max="188" width="7" bestFit="1" customWidth="1"/>
    <col min="189" max="189" width="4.109375" bestFit="1" customWidth="1"/>
    <col min="190" max="190" width="2.33203125" bestFit="1" customWidth="1"/>
    <col min="191" max="191" width="7" bestFit="1" customWidth="1"/>
    <col min="192" max="192" width="4.109375" bestFit="1" customWidth="1"/>
    <col min="193" max="193" width="2.33203125" bestFit="1" customWidth="1"/>
    <col min="194" max="194" width="7" bestFit="1" customWidth="1"/>
    <col min="195" max="195" width="4.109375" bestFit="1" customWidth="1"/>
    <col min="196" max="196" width="2.33203125" bestFit="1" customWidth="1"/>
    <col min="197" max="198" width="7" bestFit="1" customWidth="1"/>
    <col min="199" max="199" width="4.109375" bestFit="1" customWidth="1"/>
    <col min="200" max="200" width="7" bestFit="1" customWidth="1"/>
    <col min="201" max="201" width="4.109375" bestFit="1" customWidth="1"/>
    <col min="202" max="202" width="2.33203125" bestFit="1" customWidth="1"/>
    <col min="203" max="203" width="7" bestFit="1" customWidth="1"/>
    <col min="204" max="204" width="4.109375" bestFit="1" customWidth="1"/>
    <col min="205" max="205" width="2.33203125" bestFit="1" customWidth="1"/>
    <col min="206" max="206" width="7" bestFit="1" customWidth="1"/>
    <col min="207" max="207" width="4.109375" bestFit="1" customWidth="1"/>
    <col min="208" max="208" width="2.33203125" bestFit="1" customWidth="1"/>
    <col min="209" max="209" width="7" bestFit="1" customWidth="1"/>
    <col min="210" max="210" width="4.109375" bestFit="1" customWidth="1"/>
    <col min="211" max="211" width="7" bestFit="1" customWidth="1"/>
    <col min="212" max="212" width="4.109375" bestFit="1" customWidth="1"/>
    <col min="213" max="214" width="2.33203125" bestFit="1" customWidth="1"/>
    <col min="215" max="217" width="7" bestFit="1" customWidth="1"/>
    <col min="218" max="218" width="4.109375" bestFit="1" customWidth="1"/>
    <col min="219" max="220" width="2.33203125" bestFit="1" customWidth="1"/>
    <col min="221" max="221" width="7" bestFit="1" customWidth="1"/>
    <col min="222" max="222" width="4.109375" bestFit="1" customWidth="1"/>
    <col min="223" max="224" width="2.33203125" bestFit="1" customWidth="1"/>
    <col min="225" max="225" width="7" bestFit="1" customWidth="1"/>
    <col min="226" max="226" width="4.109375" bestFit="1" customWidth="1"/>
    <col min="227" max="227" width="7" bestFit="1" customWidth="1"/>
    <col min="228" max="228" width="4.109375" bestFit="1" customWidth="1"/>
    <col min="229" max="230" width="7" bestFit="1" customWidth="1"/>
    <col min="231" max="231" width="4.109375" bestFit="1" customWidth="1"/>
    <col min="232" max="232" width="7" bestFit="1" customWidth="1"/>
    <col min="233" max="233" width="4.109375" bestFit="1" customWidth="1"/>
    <col min="234" max="234" width="7" bestFit="1" customWidth="1"/>
    <col min="235" max="235" width="4.109375" bestFit="1" customWidth="1"/>
    <col min="236" max="236" width="2.33203125" bestFit="1" customWidth="1"/>
    <col min="237" max="237" width="7" bestFit="1" customWidth="1"/>
    <col min="238" max="238" width="4.109375" bestFit="1" customWidth="1"/>
    <col min="239" max="239" width="2.33203125" bestFit="1" customWidth="1"/>
    <col min="240" max="241" width="7" bestFit="1" customWidth="1"/>
    <col min="242" max="242" width="4.109375" bestFit="1" customWidth="1"/>
    <col min="243" max="243" width="2.33203125" bestFit="1" customWidth="1"/>
    <col min="244" max="244" width="7" bestFit="1" customWidth="1"/>
    <col min="245" max="245" width="4.109375" bestFit="1" customWidth="1"/>
    <col min="246" max="246" width="2.33203125" bestFit="1" customWidth="1"/>
    <col min="247" max="247" width="7" bestFit="1" customWidth="1"/>
    <col min="248" max="248" width="4.109375" bestFit="1" customWidth="1"/>
    <col min="249" max="251" width="2.33203125" bestFit="1" customWidth="1"/>
    <col min="252" max="253" width="7" bestFit="1" customWidth="1"/>
    <col min="254" max="254" width="4.109375" bestFit="1" customWidth="1"/>
    <col min="255" max="255" width="7" bestFit="1" customWidth="1"/>
    <col min="256" max="256" width="4.109375" bestFit="1" customWidth="1"/>
    <col min="257" max="257" width="2.33203125" bestFit="1" customWidth="1"/>
    <col min="258" max="259" width="7" bestFit="1" customWidth="1"/>
    <col min="260" max="260" width="4.109375" bestFit="1" customWidth="1"/>
    <col min="261" max="262" width="7" bestFit="1" customWidth="1"/>
    <col min="263" max="263" width="4.109375" bestFit="1" customWidth="1"/>
    <col min="264" max="266" width="7" bestFit="1" customWidth="1"/>
    <col min="267" max="267" width="4.109375" bestFit="1" customWidth="1"/>
    <col min="268" max="268" width="7" bestFit="1" customWidth="1"/>
    <col min="269" max="269" width="4.109375" bestFit="1" customWidth="1"/>
    <col min="270" max="271" width="2.33203125" bestFit="1" customWidth="1"/>
    <col min="272" max="272" width="7" bestFit="1" customWidth="1"/>
    <col min="273" max="273" width="4.109375" bestFit="1" customWidth="1"/>
    <col min="274" max="275" width="7" bestFit="1" customWidth="1"/>
    <col min="276" max="276" width="4.109375" bestFit="1" customWidth="1"/>
    <col min="277" max="277" width="7" bestFit="1" customWidth="1"/>
    <col min="278" max="278" width="4.109375" bestFit="1" customWidth="1"/>
    <col min="279" max="279" width="7" bestFit="1" customWidth="1"/>
    <col min="280" max="280" width="4.109375" bestFit="1" customWidth="1"/>
    <col min="281" max="282" width="7" bestFit="1" customWidth="1"/>
    <col min="283" max="283" width="4.109375" bestFit="1" customWidth="1"/>
    <col min="284" max="284" width="7" bestFit="1" customWidth="1"/>
    <col min="285" max="285" width="4.109375" bestFit="1" customWidth="1"/>
    <col min="286" max="287" width="2.33203125" bestFit="1" customWidth="1"/>
    <col min="288" max="288" width="7" bestFit="1" customWidth="1"/>
    <col min="289" max="289" width="4.109375" bestFit="1" customWidth="1"/>
    <col min="290" max="290" width="2.33203125" bestFit="1" customWidth="1"/>
    <col min="291" max="291" width="7" bestFit="1" customWidth="1"/>
    <col min="292" max="292" width="4.109375" bestFit="1" customWidth="1"/>
    <col min="293" max="294" width="7" bestFit="1" customWidth="1"/>
    <col min="295" max="295" width="4.109375" bestFit="1" customWidth="1"/>
    <col min="296" max="296" width="2.33203125" bestFit="1" customWidth="1"/>
    <col min="297" max="298" width="7" bestFit="1" customWidth="1"/>
    <col min="299" max="299" width="4.109375" bestFit="1" customWidth="1"/>
    <col min="300" max="302" width="7" bestFit="1" customWidth="1"/>
    <col min="303" max="303" width="4.109375" bestFit="1" customWidth="1"/>
    <col min="304" max="305" width="2.33203125" bestFit="1" customWidth="1"/>
    <col min="306" max="306" width="7" bestFit="1" customWidth="1"/>
    <col min="307" max="307" width="4.109375" bestFit="1" customWidth="1"/>
    <col min="308" max="309" width="7" bestFit="1" customWidth="1"/>
    <col min="310" max="310" width="4.109375" bestFit="1" customWidth="1"/>
    <col min="311" max="313" width="2.33203125" bestFit="1" customWidth="1"/>
    <col min="314" max="314" width="7" bestFit="1" customWidth="1"/>
    <col min="315" max="315" width="4.109375" bestFit="1" customWidth="1"/>
    <col min="316" max="316" width="7" bestFit="1" customWidth="1"/>
    <col min="317" max="317" width="4.109375" bestFit="1" customWidth="1"/>
    <col min="318" max="318" width="2.33203125" bestFit="1" customWidth="1"/>
    <col min="319" max="320" width="7" bestFit="1" customWidth="1"/>
    <col min="321" max="321" width="4.109375" bestFit="1" customWidth="1"/>
    <col min="322" max="322" width="7" bestFit="1" customWidth="1"/>
    <col min="323" max="323" width="4.109375" bestFit="1" customWidth="1"/>
    <col min="324" max="325" width="2.33203125" bestFit="1" customWidth="1"/>
    <col min="326" max="327" width="7" bestFit="1" customWidth="1"/>
    <col min="328" max="328" width="4.109375" bestFit="1" customWidth="1"/>
    <col min="329" max="330" width="2.33203125" bestFit="1" customWidth="1"/>
    <col min="331" max="331" width="7" bestFit="1" customWidth="1"/>
    <col min="332" max="332" width="4.109375" bestFit="1" customWidth="1"/>
    <col min="333" max="333" width="7" bestFit="1" customWidth="1"/>
    <col min="334" max="334" width="4.109375" bestFit="1" customWidth="1"/>
    <col min="335" max="336" width="7" bestFit="1" customWidth="1"/>
    <col min="337" max="337" width="4.109375" bestFit="1" customWidth="1"/>
    <col min="338" max="338" width="2.33203125" bestFit="1" customWidth="1"/>
    <col min="339" max="340" width="7" bestFit="1" customWidth="1"/>
    <col min="341" max="341" width="4.109375" bestFit="1" customWidth="1"/>
    <col min="342" max="342" width="7" bestFit="1" customWidth="1"/>
    <col min="343" max="343" width="4.109375" bestFit="1" customWidth="1"/>
    <col min="344" max="346" width="7" bestFit="1" customWidth="1"/>
    <col min="347" max="347" width="4.109375" bestFit="1" customWidth="1"/>
    <col min="348" max="348" width="7" bestFit="1" customWidth="1"/>
    <col min="349" max="349" width="4.109375" bestFit="1" customWidth="1"/>
    <col min="350" max="351" width="7" bestFit="1" customWidth="1"/>
    <col min="352" max="352" width="4.109375" bestFit="1" customWidth="1"/>
    <col min="353" max="354" width="7" bestFit="1" customWidth="1"/>
    <col min="355" max="355" width="4.109375" bestFit="1" customWidth="1"/>
    <col min="356" max="357" width="7" bestFit="1" customWidth="1"/>
    <col min="358" max="358" width="4.109375" bestFit="1" customWidth="1"/>
    <col min="359" max="359" width="2.33203125" bestFit="1" customWidth="1"/>
    <col min="360" max="360" width="7" bestFit="1" customWidth="1"/>
    <col min="361" max="361" width="4.109375" bestFit="1" customWidth="1"/>
    <col min="362" max="363" width="7" bestFit="1" customWidth="1"/>
    <col min="364" max="364" width="4.109375" bestFit="1" customWidth="1"/>
    <col min="365" max="367" width="7" bestFit="1" customWidth="1"/>
    <col min="368" max="368" width="4.109375" bestFit="1" customWidth="1"/>
    <col min="369" max="370" width="7" bestFit="1" customWidth="1"/>
    <col min="371" max="371" width="4.109375" bestFit="1" customWidth="1"/>
    <col min="372" max="373" width="7" bestFit="1" customWidth="1"/>
    <col min="374" max="374" width="4.109375" bestFit="1" customWidth="1"/>
    <col min="375" max="375" width="2.33203125" bestFit="1" customWidth="1"/>
    <col min="376" max="378" width="7" bestFit="1" customWidth="1"/>
    <col min="379" max="379" width="11.44140625" bestFit="1" customWidth="1"/>
    <col min="380" max="381" width="7" bestFit="1" customWidth="1"/>
    <col min="382" max="382" width="4.109375" bestFit="1" customWidth="1"/>
    <col min="383" max="384" width="2.33203125" bestFit="1" customWidth="1"/>
    <col min="385" max="385" width="7" bestFit="1" customWidth="1"/>
    <col min="386" max="386" width="4.109375" bestFit="1" customWidth="1"/>
    <col min="387" max="387" width="7" bestFit="1" customWidth="1"/>
    <col min="388" max="388" width="4.109375" bestFit="1" customWidth="1"/>
    <col min="389" max="390" width="7" bestFit="1" customWidth="1"/>
    <col min="391" max="391" width="4.109375" bestFit="1" customWidth="1"/>
    <col min="392" max="392" width="7" bestFit="1" customWidth="1"/>
    <col min="393" max="393" width="4.109375" bestFit="1" customWidth="1"/>
    <col min="394" max="394" width="7" bestFit="1" customWidth="1"/>
    <col min="395" max="395" width="4.109375" bestFit="1" customWidth="1"/>
    <col min="396" max="396" width="7" bestFit="1" customWidth="1"/>
    <col min="397" max="397" width="4.109375" bestFit="1" customWidth="1"/>
    <col min="398" max="399" width="2.33203125" bestFit="1" customWidth="1"/>
    <col min="400" max="400" width="7" bestFit="1" customWidth="1"/>
    <col min="401" max="401" width="4.109375" bestFit="1" customWidth="1"/>
    <col min="402" max="403" width="7" bestFit="1" customWidth="1"/>
    <col min="404" max="404" width="4.109375" bestFit="1" customWidth="1"/>
    <col min="405" max="405" width="7" bestFit="1" customWidth="1"/>
    <col min="406" max="406" width="4.109375" bestFit="1" customWidth="1"/>
    <col min="407" max="407" width="2.33203125" bestFit="1" customWidth="1"/>
    <col min="408" max="408" width="7" bestFit="1" customWidth="1"/>
    <col min="409" max="409" width="4.109375" bestFit="1" customWidth="1"/>
    <col min="410" max="410" width="2.33203125" bestFit="1" customWidth="1"/>
    <col min="411" max="411" width="7" bestFit="1" customWidth="1"/>
    <col min="412" max="412" width="4.109375" bestFit="1" customWidth="1"/>
    <col min="413" max="414" width="7" bestFit="1" customWidth="1"/>
    <col min="415" max="415" width="4.109375" bestFit="1" customWidth="1"/>
    <col min="416" max="416" width="7" bestFit="1" customWidth="1"/>
    <col min="417" max="417" width="4.109375" bestFit="1" customWidth="1"/>
    <col min="418" max="418" width="7" bestFit="1" customWidth="1"/>
    <col min="419" max="419" width="4.109375" bestFit="1" customWidth="1"/>
    <col min="420" max="420" width="2.33203125" bestFit="1" customWidth="1"/>
    <col min="421" max="422" width="7" bestFit="1" customWidth="1"/>
    <col min="423" max="423" width="4.109375" bestFit="1" customWidth="1"/>
    <col min="424" max="424" width="7" bestFit="1" customWidth="1"/>
    <col min="425" max="425" width="4.109375" bestFit="1" customWidth="1"/>
    <col min="426" max="426" width="2.33203125" bestFit="1" customWidth="1"/>
    <col min="427" max="427" width="7" bestFit="1" customWidth="1"/>
    <col min="428" max="428" width="4.109375" bestFit="1" customWidth="1"/>
    <col min="429" max="429" width="7" bestFit="1" customWidth="1"/>
    <col min="430" max="430" width="4.109375" bestFit="1" customWidth="1"/>
    <col min="431" max="431" width="7" bestFit="1" customWidth="1"/>
    <col min="432" max="432" width="4.109375" bestFit="1" customWidth="1"/>
    <col min="433" max="434" width="2.33203125" bestFit="1" customWidth="1"/>
    <col min="435" max="438" width="7" bestFit="1" customWidth="1"/>
    <col min="439" max="439" width="4.109375" bestFit="1" customWidth="1"/>
    <col min="440" max="440" width="7" bestFit="1" customWidth="1"/>
    <col min="441" max="441" width="4.109375" bestFit="1" customWidth="1"/>
    <col min="442" max="443" width="7" bestFit="1" customWidth="1"/>
    <col min="444" max="444" width="4.109375" bestFit="1" customWidth="1"/>
    <col min="445" max="447" width="7" bestFit="1" customWidth="1"/>
    <col min="448" max="448" width="4.109375" bestFit="1" customWidth="1"/>
    <col min="449" max="449" width="7" bestFit="1" customWidth="1"/>
    <col min="450" max="450" width="4.109375" bestFit="1" customWidth="1"/>
    <col min="451" max="452" width="7" bestFit="1" customWidth="1"/>
    <col min="453" max="453" width="4.109375" bestFit="1" customWidth="1"/>
    <col min="454" max="454" width="7" bestFit="1" customWidth="1"/>
    <col min="455" max="455" width="4.109375" bestFit="1" customWidth="1"/>
    <col min="456" max="456" width="7" bestFit="1" customWidth="1"/>
    <col min="457" max="457" width="4.109375" bestFit="1" customWidth="1"/>
    <col min="458" max="459" width="7" bestFit="1" customWidth="1"/>
    <col min="460" max="460" width="4.109375" bestFit="1" customWidth="1"/>
    <col min="461" max="461" width="2.33203125" bestFit="1" customWidth="1"/>
    <col min="462" max="462" width="7" bestFit="1" customWidth="1"/>
    <col min="463" max="463" width="4.109375" bestFit="1" customWidth="1"/>
    <col min="464" max="464" width="7" bestFit="1" customWidth="1"/>
    <col min="465" max="465" width="4.109375" bestFit="1" customWidth="1"/>
    <col min="466" max="467" width="2.33203125" bestFit="1" customWidth="1"/>
    <col min="468" max="469" width="7" bestFit="1" customWidth="1"/>
    <col min="470" max="470" width="4.109375" bestFit="1" customWidth="1"/>
    <col min="471" max="472" width="7" bestFit="1" customWidth="1"/>
    <col min="473" max="473" width="4.109375" bestFit="1" customWidth="1"/>
    <col min="474" max="475" width="7" bestFit="1" customWidth="1"/>
    <col min="476" max="476" width="4.109375" bestFit="1" customWidth="1"/>
    <col min="477" max="479" width="7" bestFit="1" customWidth="1"/>
    <col min="480" max="480" width="4.109375" bestFit="1" customWidth="1"/>
    <col min="481" max="481" width="7" bestFit="1" customWidth="1"/>
    <col min="482" max="482" width="4.109375" bestFit="1" customWidth="1"/>
    <col min="483" max="483" width="7" bestFit="1" customWidth="1"/>
    <col min="484" max="484" width="4.109375" bestFit="1" customWidth="1"/>
    <col min="485" max="486" width="7" bestFit="1" customWidth="1"/>
    <col min="487" max="487" width="4.109375" bestFit="1" customWidth="1"/>
    <col min="488" max="488" width="7" bestFit="1" customWidth="1"/>
    <col min="489" max="489" width="4.109375" bestFit="1" customWidth="1"/>
    <col min="490" max="491" width="7" bestFit="1" customWidth="1"/>
    <col min="492" max="492" width="4.109375" bestFit="1" customWidth="1"/>
    <col min="493" max="493" width="7" bestFit="1" customWidth="1"/>
    <col min="494" max="494" width="4.109375" bestFit="1" customWidth="1"/>
    <col min="495" max="496" width="7" bestFit="1" customWidth="1"/>
    <col min="497" max="497" width="4.109375" bestFit="1" customWidth="1"/>
    <col min="498" max="498" width="7" bestFit="1" customWidth="1"/>
    <col min="499" max="499" width="4.109375" bestFit="1" customWidth="1"/>
    <col min="500" max="502" width="7" bestFit="1" customWidth="1"/>
    <col min="503" max="503" width="4.109375" bestFit="1" customWidth="1"/>
    <col min="504" max="504" width="7" bestFit="1" customWidth="1"/>
    <col min="505" max="505" width="4.109375" bestFit="1" customWidth="1"/>
    <col min="506" max="507" width="7" bestFit="1" customWidth="1"/>
    <col min="508" max="508" width="4.109375" bestFit="1" customWidth="1"/>
    <col min="509" max="512" width="7" bestFit="1" customWidth="1"/>
    <col min="513" max="513" width="4.109375" bestFit="1" customWidth="1"/>
    <col min="514" max="515" width="2.33203125" bestFit="1" customWidth="1"/>
    <col min="516" max="517" width="7" bestFit="1" customWidth="1"/>
    <col min="518" max="518" width="4.109375" bestFit="1" customWidth="1"/>
    <col min="519" max="519" width="7" bestFit="1" customWidth="1"/>
    <col min="520" max="520" width="4.109375" bestFit="1" customWidth="1"/>
    <col min="521" max="522" width="7" bestFit="1" customWidth="1"/>
    <col min="523" max="523" width="4.109375" bestFit="1" customWidth="1"/>
    <col min="524" max="524" width="7" bestFit="1" customWidth="1"/>
    <col min="525" max="525" width="4.109375" bestFit="1" customWidth="1"/>
    <col min="526" max="526" width="2.33203125" bestFit="1" customWidth="1"/>
    <col min="527" max="527" width="7" bestFit="1" customWidth="1"/>
    <col min="528" max="528" width="4.109375" bestFit="1" customWidth="1"/>
    <col min="529" max="529" width="7" bestFit="1" customWidth="1"/>
    <col min="530" max="530" width="4.109375" bestFit="1" customWidth="1"/>
    <col min="531" max="532" width="7" bestFit="1" customWidth="1"/>
    <col min="533" max="533" width="4.109375" bestFit="1" customWidth="1"/>
    <col min="534" max="534" width="2.33203125" bestFit="1" customWidth="1"/>
    <col min="535" max="536" width="7" bestFit="1" customWidth="1"/>
    <col min="537" max="537" width="4.109375" bestFit="1" customWidth="1"/>
    <col min="538" max="540" width="7" bestFit="1" customWidth="1"/>
    <col min="541" max="541" width="4.109375" bestFit="1" customWidth="1"/>
    <col min="542" max="543" width="7" bestFit="1" customWidth="1"/>
    <col min="544" max="544" width="4.109375" bestFit="1" customWidth="1"/>
    <col min="545" max="545" width="7" bestFit="1" customWidth="1"/>
    <col min="546" max="546" width="4.109375" bestFit="1" customWidth="1"/>
    <col min="547" max="548" width="7" bestFit="1" customWidth="1"/>
    <col min="549" max="549" width="4.109375" bestFit="1" customWidth="1"/>
    <col min="550" max="552" width="7" bestFit="1" customWidth="1"/>
    <col min="553" max="553" width="4.109375" bestFit="1" customWidth="1"/>
    <col min="554" max="555" width="7" bestFit="1" customWidth="1"/>
    <col min="556" max="556" width="4.109375" bestFit="1" customWidth="1"/>
    <col min="557" max="558" width="7" bestFit="1" customWidth="1"/>
    <col min="559" max="559" width="4.109375" bestFit="1" customWidth="1"/>
    <col min="560" max="563" width="7" bestFit="1" customWidth="1"/>
    <col min="564" max="564" width="4.109375" bestFit="1" customWidth="1"/>
    <col min="565" max="566" width="7" bestFit="1" customWidth="1"/>
    <col min="567" max="567" width="4.109375" bestFit="1" customWidth="1"/>
    <col min="568" max="570" width="7" bestFit="1" customWidth="1"/>
    <col min="571" max="571" width="4.109375" bestFit="1" customWidth="1"/>
    <col min="572" max="574" width="7" bestFit="1" customWidth="1"/>
    <col min="575" max="575" width="4.109375" bestFit="1" customWidth="1"/>
    <col min="576" max="578" width="7" bestFit="1" customWidth="1"/>
    <col min="579" max="579" width="4.109375" bestFit="1" customWidth="1"/>
    <col min="580" max="581" width="7" bestFit="1" customWidth="1"/>
    <col min="582" max="582" width="4.109375" bestFit="1" customWidth="1"/>
    <col min="583" max="583" width="2.33203125" bestFit="1" customWidth="1"/>
    <col min="584" max="584" width="7" bestFit="1" customWidth="1"/>
    <col min="585" max="585" width="4.109375" bestFit="1" customWidth="1"/>
    <col min="586" max="587" width="7" bestFit="1" customWidth="1"/>
    <col min="588" max="588" width="4.109375" bestFit="1" customWidth="1"/>
    <col min="589" max="589" width="2.33203125" bestFit="1" customWidth="1"/>
    <col min="590" max="591" width="7" bestFit="1" customWidth="1"/>
    <col min="592" max="592" width="4.109375" bestFit="1" customWidth="1"/>
    <col min="593" max="594" width="2.33203125" bestFit="1" customWidth="1"/>
    <col min="595" max="597" width="7" bestFit="1" customWidth="1"/>
    <col min="598" max="598" width="4.109375" bestFit="1" customWidth="1"/>
    <col min="599" max="599" width="7" bestFit="1" customWidth="1"/>
    <col min="600" max="600" width="4.109375" bestFit="1" customWidth="1"/>
    <col min="601" max="602" width="7" bestFit="1" customWidth="1"/>
    <col min="603" max="603" width="4.109375" bestFit="1" customWidth="1"/>
    <col min="604" max="604" width="7" bestFit="1" customWidth="1"/>
    <col min="605" max="605" width="4.109375" bestFit="1" customWidth="1"/>
    <col min="606" max="606" width="7" bestFit="1" customWidth="1"/>
    <col min="607" max="607" width="4.109375" bestFit="1" customWidth="1"/>
    <col min="608" max="609" width="7" bestFit="1" customWidth="1"/>
    <col min="610" max="610" width="4.109375" bestFit="1" customWidth="1"/>
    <col min="611" max="611" width="7" bestFit="1" customWidth="1"/>
    <col min="612" max="612" width="4.109375" bestFit="1" customWidth="1"/>
    <col min="613" max="614" width="7" bestFit="1" customWidth="1"/>
    <col min="615" max="615" width="4.109375" bestFit="1" customWidth="1"/>
    <col min="616" max="616" width="7" bestFit="1" customWidth="1"/>
    <col min="617" max="617" width="4.109375" bestFit="1" customWidth="1"/>
    <col min="618" max="618" width="7" bestFit="1" customWidth="1"/>
    <col min="619" max="619" width="4.109375" bestFit="1" customWidth="1"/>
    <col min="620" max="621" width="7" bestFit="1" customWidth="1"/>
    <col min="622" max="622" width="4.109375" bestFit="1" customWidth="1"/>
    <col min="623" max="624" width="7" bestFit="1" customWidth="1"/>
    <col min="625" max="625" width="4.109375" bestFit="1" customWidth="1"/>
    <col min="626" max="626" width="7" bestFit="1" customWidth="1"/>
    <col min="627" max="627" width="4.109375" bestFit="1" customWidth="1"/>
    <col min="628" max="630" width="7" bestFit="1" customWidth="1"/>
    <col min="631" max="631" width="4.109375" bestFit="1" customWidth="1"/>
    <col min="632" max="635" width="7" bestFit="1" customWidth="1"/>
    <col min="636" max="636" width="4.109375" bestFit="1" customWidth="1"/>
    <col min="637" max="639" width="7" bestFit="1" customWidth="1"/>
    <col min="640" max="640" width="4.109375" bestFit="1" customWidth="1"/>
    <col min="641" max="642" width="7" bestFit="1" customWidth="1"/>
    <col min="643" max="643" width="4.109375" bestFit="1" customWidth="1"/>
    <col min="644" max="644" width="7" bestFit="1" customWidth="1"/>
    <col min="645" max="645" width="4.109375" bestFit="1" customWidth="1"/>
    <col min="646" max="648" width="7" bestFit="1" customWidth="1"/>
    <col min="649" max="649" width="4.109375" bestFit="1" customWidth="1"/>
    <col min="650" max="651" width="7" bestFit="1" customWidth="1"/>
    <col min="652" max="652" width="4.109375" bestFit="1" customWidth="1"/>
    <col min="653" max="654" width="7" bestFit="1" customWidth="1"/>
    <col min="655" max="655" width="4.109375" bestFit="1" customWidth="1"/>
    <col min="656" max="657" width="7" bestFit="1" customWidth="1"/>
    <col min="658" max="658" width="4.109375" bestFit="1" customWidth="1"/>
    <col min="659" max="659" width="2.33203125" bestFit="1" customWidth="1"/>
    <col min="660" max="661" width="7" bestFit="1" customWidth="1"/>
    <col min="662" max="662" width="4.109375" bestFit="1" customWidth="1"/>
    <col min="663" max="665" width="7" bestFit="1" customWidth="1"/>
    <col min="666" max="666" width="4.109375" bestFit="1" customWidth="1"/>
    <col min="667" max="668" width="7" bestFit="1" customWidth="1"/>
    <col min="669" max="669" width="4.109375" bestFit="1" customWidth="1"/>
    <col min="670" max="671" width="7" bestFit="1" customWidth="1"/>
    <col min="672" max="672" width="4.109375" bestFit="1" customWidth="1"/>
    <col min="673" max="676" width="7" bestFit="1" customWidth="1"/>
    <col min="677" max="677" width="4.109375" bestFit="1" customWidth="1"/>
    <col min="678" max="679" width="7" bestFit="1" customWidth="1"/>
    <col min="680" max="680" width="4.109375" bestFit="1" customWidth="1"/>
    <col min="681" max="682" width="7" bestFit="1" customWidth="1"/>
    <col min="683" max="683" width="4.109375" bestFit="1" customWidth="1"/>
    <col min="684" max="686" width="7" bestFit="1" customWidth="1"/>
    <col min="687" max="687" width="4.109375" bestFit="1" customWidth="1"/>
    <col min="688" max="688" width="2.33203125" bestFit="1" customWidth="1"/>
    <col min="689" max="692" width="7" bestFit="1" customWidth="1"/>
    <col min="693" max="693" width="11.44140625" bestFit="1" customWidth="1"/>
  </cols>
  <sheetData>
    <row r="3" spans="2:82" x14ac:dyDescent="0.3">
      <c r="B3" t="s">
        <v>758</v>
      </c>
      <c r="C3" t="s">
        <v>759</v>
      </c>
      <c r="D3" t="s">
        <v>760</v>
      </c>
      <c r="G3" s="3" t="s">
        <v>761</v>
      </c>
      <c r="H3" t="s">
        <v>762</v>
      </c>
      <c r="I3" t="s">
        <v>763</v>
      </c>
      <c r="K3" s="3" t="s">
        <v>761</v>
      </c>
      <c r="L3" t="s">
        <v>764</v>
      </c>
      <c r="N3" s="3" t="s">
        <v>761</v>
      </c>
      <c r="O3" t="s">
        <v>765</v>
      </c>
      <c r="Q3" s="3" t="s">
        <v>761</v>
      </c>
      <c r="R3" t="s">
        <v>766</v>
      </c>
      <c r="AK3" s="3" t="s">
        <v>1</v>
      </c>
      <c r="AL3" t="s">
        <v>767</v>
      </c>
    </row>
    <row r="4" spans="2:82" x14ac:dyDescent="0.3">
      <c r="B4">
        <v>42380</v>
      </c>
      <c r="C4">
        <v>18616</v>
      </c>
      <c r="D4">
        <v>131570</v>
      </c>
      <c r="G4" s="4" t="s">
        <v>17</v>
      </c>
      <c r="H4">
        <v>1</v>
      </c>
      <c r="I4">
        <v>0</v>
      </c>
      <c r="K4" s="4" t="s">
        <v>201</v>
      </c>
      <c r="L4">
        <v>1</v>
      </c>
      <c r="N4" s="4" t="s">
        <v>17</v>
      </c>
      <c r="O4">
        <v>0</v>
      </c>
      <c r="Q4" s="4" t="s">
        <v>17</v>
      </c>
      <c r="R4">
        <v>5000001</v>
      </c>
      <c r="AK4" t="s">
        <v>18</v>
      </c>
      <c r="AL4">
        <v>167</v>
      </c>
    </row>
    <row r="5" spans="2:82" x14ac:dyDescent="0.3">
      <c r="G5" s="4" t="s">
        <v>21</v>
      </c>
      <c r="H5">
        <v>0</v>
      </c>
      <c r="I5">
        <v>0</v>
      </c>
      <c r="K5" s="4" t="s">
        <v>332</v>
      </c>
      <c r="L5">
        <v>1</v>
      </c>
      <c r="N5" s="4" t="s">
        <v>21</v>
      </c>
      <c r="O5">
        <v>0</v>
      </c>
      <c r="Q5" s="4" t="s">
        <v>21</v>
      </c>
      <c r="R5">
        <v>5000001</v>
      </c>
      <c r="AB5" t="str" cm="1">
        <f t="array" ref="AB5:AB677">B3:B675</f>
        <v>Sum of LC Program Count</v>
      </c>
      <c r="AC5" t="str" cm="1">
        <f t="array" ref="AC5:AC677">C3:C675</f>
        <v>Sum of GFG Count</v>
      </c>
      <c r="AD5" t="str" cm="1">
        <f t="array" ref="AD5:AD677">D3:D675</f>
        <v>Sum of CC Problem Count</v>
      </c>
      <c r="AE5" cm="1">
        <f t="array" ref="AE5:AE677">E3:E675</f>
        <v>0</v>
      </c>
      <c r="AK5" t="s">
        <v>220</v>
      </c>
      <c r="AL5">
        <v>277</v>
      </c>
      <c r="BG5" s="3" t="s">
        <v>2</v>
      </c>
      <c r="BH5" s="3" t="s">
        <v>1</v>
      </c>
      <c r="BI5" t="s">
        <v>767</v>
      </c>
    </row>
    <row r="6" spans="2:82" x14ac:dyDescent="0.3">
      <c r="G6" s="4" t="s">
        <v>22</v>
      </c>
      <c r="H6">
        <v>2</v>
      </c>
      <c r="I6">
        <v>0</v>
      </c>
      <c r="K6" s="4" t="s">
        <v>536</v>
      </c>
      <c r="L6">
        <v>2</v>
      </c>
      <c r="N6" s="4" t="s">
        <v>22</v>
      </c>
      <c r="O6">
        <v>4</v>
      </c>
      <c r="Q6" s="4" t="s">
        <v>22</v>
      </c>
      <c r="R6">
        <v>2010823</v>
      </c>
      <c r="AB6">
        <v>42380</v>
      </c>
      <c r="AC6">
        <v>18616</v>
      </c>
      <c r="AD6">
        <v>131570</v>
      </c>
      <c r="AE6">
        <v>0</v>
      </c>
      <c r="AK6" t="s">
        <v>515</v>
      </c>
      <c r="AL6">
        <v>228</v>
      </c>
      <c r="AN6" s="3" t="s">
        <v>767</v>
      </c>
      <c r="AO6" s="3" t="s">
        <v>1</v>
      </c>
      <c r="AT6" s="3" t="s">
        <v>2</v>
      </c>
      <c r="AU6" t="s">
        <v>768</v>
      </c>
      <c r="AV6" t="s">
        <v>769</v>
      </c>
      <c r="AW6" t="s">
        <v>770</v>
      </c>
      <c r="AX6" t="s">
        <v>771</v>
      </c>
      <c r="AY6" t="s">
        <v>772</v>
      </c>
      <c r="BG6" t="s">
        <v>143</v>
      </c>
      <c r="BH6" t="s">
        <v>18</v>
      </c>
      <c r="BI6">
        <v>43</v>
      </c>
    </row>
    <row r="7" spans="2:82" x14ac:dyDescent="0.3">
      <c r="G7" s="4" t="s">
        <v>23</v>
      </c>
      <c r="H7">
        <v>1</v>
      </c>
      <c r="I7">
        <v>0</v>
      </c>
      <c r="K7" s="4" t="s">
        <v>108</v>
      </c>
      <c r="L7">
        <v>1</v>
      </c>
      <c r="N7" s="4" t="s">
        <v>23</v>
      </c>
      <c r="O7">
        <v>0</v>
      </c>
      <c r="Q7" s="4" t="s">
        <v>23</v>
      </c>
      <c r="R7">
        <v>5000001</v>
      </c>
      <c r="AB7">
        <v>0</v>
      </c>
      <c r="AC7">
        <v>0</v>
      </c>
      <c r="AD7">
        <v>0</v>
      </c>
      <c r="AE7">
        <v>0</v>
      </c>
      <c r="AK7" t="s">
        <v>773</v>
      </c>
      <c r="AL7">
        <v>672</v>
      </c>
      <c r="AN7" s="3" t="s">
        <v>2</v>
      </c>
      <c r="AO7" t="s">
        <v>18</v>
      </c>
      <c r="AP7" t="s">
        <v>220</v>
      </c>
      <c r="AQ7" t="s">
        <v>515</v>
      </c>
      <c r="AR7" t="s">
        <v>773</v>
      </c>
      <c r="AT7" t="s">
        <v>143</v>
      </c>
      <c r="AU7">
        <v>262</v>
      </c>
      <c r="AV7">
        <v>48</v>
      </c>
      <c r="AW7">
        <v>141</v>
      </c>
      <c r="AX7">
        <v>209</v>
      </c>
      <c r="AY7">
        <v>132</v>
      </c>
      <c r="BH7" t="s">
        <v>220</v>
      </c>
      <c r="BI7">
        <v>72</v>
      </c>
    </row>
    <row r="8" spans="2:82" x14ac:dyDescent="0.3">
      <c r="G8" s="4" t="s">
        <v>24</v>
      </c>
      <c r="H8">
        <v>1</v>
      </c>
      <c r="I8">
        <v>0</v>
      </c>
      <c r="K8" s="4" t="s">
        <v>289</v>
      </c>
      <c r="L8">
        <v>5</v>
      </c>
      <c r="N8" s="4" t="s">
        <v>24</v>
      </c>
      <c r="O8">
        <v>0</v>
      </c>
      <c r="Q8" s="4" t="s">
        <v>24</v>
      </c>
      <c r="R8">
        <v>5000001</v>
      </c>
      <c r="AB8">
        <v>0</v>
      </c>
      <c r="AC8">
        <v>0</v>
      </c>
      <c r="AD8">
        <v>0</v>
      </c>
      <c r="AE8">
        <v>0</v>
      </c>
      <c r="AN8" t="s">
        <v>143</v>
      </c>
      <c r="AO8">
        <v>43</v>
      </c>
      <c r="AP8">
        <v>72</v>
      </c>
      <c r="AR8">
        <v>115</v>
      </c>
      <c r="AT8" t="s">
        <v>36</v>
      </c>
      <c r="AU8">
        <v>677</v>
      </c>
      <c r="AV8">
        <v>120</v>
      </c>
      <c r="AW8">
        <v>224</v>
      </c>
      <c r="AX8">
        <v>612</v>
      </c>
      <c r="AY8">
        <v>346</v>
      </c>
      <c r="BG8" t="s">
        <v>774</v>
      </c>
      <c r="BI8">
        <v>115</v>
      </c>
    </row>
    <row r="9" spans="2:82" x14ac:dyDescent="0.3">
      <c r="G9" s="4" t="s">
        <v>25</v>
      </c>
      <c r="H9">
        <v>1</v>
      </c>
      <c r="I9">
        <v>0</v>
      </c>
      <c r="K9" s="4" t="s">
        <v>363</v>
      </c>
      <c r="L9">
        <v>2</v>
      </c>
      <c r="N9" s="4" t="s">
        <v>25</v>
      </c>
      <c r="O9">
        <v>0</v>
      </c>
      <c r="Q9" s="4" t="s">
        <v>25</v>
      </c>
      <c r="R9">
        <v>5000001</v>
      </c>
      <c r="AB9">
        <v>0</v>
      </c>
      <c r="AC9">
        <v>0</v>
      </c>
      <c r="AD9">
        <v>0</v>
      </c>
      <c r="AE9">
        <v>0</v>
      </c>
      <c r="AN9" t="s">
        <v>36</v>
      </c>
      <c r="AO9">
        <v>74</v>
      </c>
      <c r="AP9">
        <v>102</v>
      </c>
      <c r="AQ9">
        <v>86</v>
      </c>
      <c r="AR9">
        <v>262</v>
      </c>
      <c r="AT9" t="s">
        <v>673</v>
      </c>
      <c r="AU9">
        <v>36</v>
      </c>
      <c r="AV9">
        <v>2</v>
      </c>
      <c r="AW9">
        <v>38</v>
      </c>
      <c r="AX9">
        <v>44</v>
      </c>
      <c r="AY9">
        <v>65</v>
      </c>
      <c r="BG9" t="s">
        <v>36</v>
      </c>
      <c r="BH9" t="s">
        <v>18</v>
      </c>
      <c r="BI9">
        <v>74</v>
      </c>
    </row>
    <row r="10" spans="2:82" x14ac:dyDescent="0.3">
      <c r="G10" s="4" t="s">
        <v>26</v>
      </c>
      <c r="H10">
        <v>1</v>
      </c>
      <c r="I10">
        <v>0</v>
      </c>
      <c r="K10" s="4" t="s">
        <v>505</v>
      </c>
      <c r="L10">
        <v>1</v>
      </c>
      <c r="N10" s="4" t="s">
        <v>26</v>
      </c>
      <c r="O10">
        <v>0</v>
      </c>
      <c r="Q10" s="4" t="s">
        <v>26</v>
      </c>
      <c r="R10">
        <v>5000001</v>
      </c>
      <c r="AB10">
        <v>0</v>
      </c>
      <c r="AC10">
        <v>0</v>
      </c>
      <c r="AD10">
        <v>0</v>
      </c>
      <c r="AE10">
        <v>0</v>
      </c>
      <c r="AN10" t="s">
        <v>673</v>
      </c>
      <c r="AQ10">
        <v>61</v>
      </c>
      <c r="AR10">
        <v>61</v>
      </c>
      <c r="AT10" t="s">
        <v>189</v>
      </c>
      <c r="AU10">
        <v>179</v>
      </c>
      <c r="AV10">
        <v>21</v>
      </c>
      <c r="AW10">
        <v>60</v>
      </c>
      <c r="AX10">
        <v>127</v>
      </c>
      <c r="AY10">
        <v>63</v>
      </c>
      <c r="BH10" t="s">
        <v>220</v>
      </c>
      <c r="BI10">
        <v>102</v>
      </c>
      <c r="CC10" s="3" t="s">
        <v>2</v>
      </c>
      <c r="CD10" t="s">
        <v>762</v>
      </c>
    </row>
    <row r="11" spans="2:82" x14ac:dyDescent="0.3">
      <c r="G11" s="4" t="s">
        <v>27</v>
      </c>
      <c r="H11">
        <v>1</v>
      </c>
      <c r="I11">
        <v>0</v>
      </c>
      <c r="K11" s="4" t="s">
        <v>254</v>
      </c>
      <c r="L11">
        <v>1</v>
      </c>
      <c r="N11" s="4" t="s">
        <v>27</v>
      </c>
      <c r="O11">
        <v>0</v>
      </c>
      <c r="Q11" s="4" t="s">
        <v>27</v>
      </c>
      <c r="R11">
        <v>5000001</v>
      </c>
      <c r="W11" t="s">
        <v>775</v>
      </c>
      <c r="X11" t="s">
        <v>23</v>
      </c>
      <c r="AB11">
        <v>0</v>
      </c>
      <c r="AC11">
        <v>0</v>
      </c>
      <c r="AD11">
        <v>0</v>
      </c>
      <c r="AE11">
        <v>0</v>
      </c>
      <c r="AN11" t="s">
        <v>189</v>
      </c>
      <c r="AO11">
        <v>27</v>
      </c>
      <c r="AP11">
        <v>35</v>
      </c>
      <c r="AR11">
        <v>62</v>
      </c>
      <c r="AT11" t="s">
        <v>19</v>
      </c>
      <c r="AU11">
        <v>239</v>
      </c>
      <c r="AV11">
        <v>29</v>
      </c>
      <c r="AW11">
        <v>65</v>
      </c>
      <c r="AX11">
        <v>180</v>
      </c>
      <c r="AY11">
        <v>87</v>
      </c>
      <c r="BH11" t="s">
        <v>515</v>
      </c>
      <c r="BI11">
        <v>86</v>
      </c>
      <c r="CC11" t="s">
        <v>143</v>
      </c>
      <c r="CD11">
        <v>308</v>
      </c>
    </row>
    <row r="12" spans="2:82" x14ac:dyDescent="0.3">
      <c r="G12" s="4" t="s">
        <v>29</v>
      </c>
      <c r="H12">
        <v>0</v>
      </c>
      <c r="I12">
        <v>0</v>
      </c>
      <c r="K12" s="4" t="s">
        <v>714</v>
      </c>
      <c r="L12">
        <v>1</v>
      </c>
      <c r="N12" s="4" t="s">
        <v>29</v>
      </c>
      <c r="O12">
        <v>0</v>
      </c>
      <c r="Q12" s="4" t="s">
        <v>29</v>
      </c>
      <c r="R12">
        <v>5000001</v>
      </c>
      <c r="W12" t="s">
        <v>776</v>
      </c>
      <c r="X12" t="e">
        <f>_xlfn.XLOOKUP(X11,B4:B675,C4:C675)</f>
        <v>#N/A</v>
      </c>
      <c r="AB12">
        <v>0</v>
      </c>
      <c r="AC12">
        <v>0</v>
      </c>
      <c r="AD12">
        <v>0</v>
      </c>
      <c r="AE12">
        <v>0</v>
      </c>
      <c r="AN12" t="s">
        <v>19</v>
      </c>
      <c r="AO12">
        <v>15</v>
      </c>
      <c r="AP12">
        <v>28</v>
      </c>
      <c r="AQ12">
        <v>50</v>
      </c>
      <c r="AR12">
        <v>93</v>
      </c>
      <c r="AT12" t="s">
        <v>133</v>
      </c>
      <c r="AU12">
        <v>140</v>
      </c>
      <c r="AV12">
        <v>25</v>
      </c>
      <c r="AW12">
        <v>51</v>
      </c>
      <c r="AX12">
        <v>132</v>
      </c>
      <c r="AY12">
        <v>74</v>
      </c>
      <c r="BG12" t="s">
        <v>777</v>
      </c>
      <c r="BI12">
        <v>262</v>
      </c>
      <c r="CC12" t="s">
        <v>36</v>
      </c>
      <c r="CD12">
        <v>757</v>
      </c>
    </row>
    <row r="13" spans="2:82" x14ac:dyDescent="0.3">
      <c r="G13" s="4" t="s">
        <v>30</v>
      </c>
      <c r="H13">
        <v>1</v>
      </c>
      <c r="I13">
        <v>0</v>
      </c>
      <c r="K13" s="4" t="s">
        <v>116</v>
      </c>
      <c r="L13">
        <v>1</v>
      </c>
      <c r="N13" s="4" t="s">
        <v>30</v>
      </c>
      <c r="O13">
        <v>306</v>
      </c>
      <c r="Q13" s="4" t="s">
        <v>30</v>
      </c>
      <c r="R13">
        <v>619067</v>
      </c>
      <c r="W13" t="s">
        <v>49</v>
      </c>
      <c r="X13" t="e">
        <f>_xlfn.XLOOKUP(X11,B4:B675,E4:E675)</f>
        <v>#N/A</v>
      </c>
      <c r="AB13">
        <v>0</v>
      </c>
      <c r="AC13">
        <v>0</v>
      </c>
      <c r="AD13">
        <v>0</v>
      </c>
      <c r="AE13">
        <v>0</v>
      </c>
      <c r="AN13" t="s">
        <v>133</v>
      </c>
      <c r="AO13">
        <v>8</v>
      </c>
      <c r="AP13">
        <v>40</v>
      </c>
      <c r="AQ13">
        <v>31</v>
      </c>
      <c r="AR13">
        <v>79</v>
      </c>
      <c r="AT13" t="s">
        <v>773</v>
      </c>
      <c r="AU13">
        <v>1533</v>
      </c>
      <c r="AV13">
        <v>245</v>
      </c>
      <c r="AW13">
        <v>579</v>
      </c>
      <c r="AX13">
        <v>1304</v>
      </c>
      <c r="AY13">
        <v>767</v>
      </c>
      <c r="BG13" t="s">
        <v>673</v>
      </c>
      <c r="BH13" t="s">
        <v>515</v>
      </c>
      <c r="BI13">
        <v>61</v>
      </c>
      <c r="CC13" t="s">
        <v>673</v>
      </c>
      <c r="CD13">
        <v>70</v>
      </c>
    </row>
    <row r="14" spans="2:82" x14ac:dyDescent="0.3">
      <c r="G14" s="4" t="s">
        <v>31</v>
      </c>
      <c r="H14">
        <v>1</v>
      </c>
      <c r="I14">
        <v>0</v>
      </c>
      <c r="K14" s="4" t="s">
        <v>217</v>
      </c>
      <c r="L14">
        <v>2</v>
      </c>
      <c r="N14" s="4" t="s">
        <v>31</v>
      </c>
      <c r="O14">
        <v>0</v>
      </c>
      <c r="Q14" s="4" t="s">
        <v>31</v>
      </c>
      <c r="R14">
        <v>5000001</v>
      </c>
      <c r="W14" t="s">
        <v>51</v>
      </c>
      <c r="X14" t="e">
        <f>_xlfn.XLOOKUP(X11,B4:B675,D4:D675)</f>
        <v>#N/A</v>
      </c>
      <c r="AB14">
        <v>0</v>
      </c>
      <c r="AC14">
        <v>0</v>
      </c>
      <c r="AD14">
        <v>0</v>
      </c>
      <c r="AE14">
        <v>0</v>
      </c>
      <c r="AN14" t="s">
        <v>773</v>
      </c>
      <c r="AO14">
        <v>167</v>
      </c>
      <c r="AP14">
        <v>277</v>
      </c>
      <c r="AQ14">
        <v>228</v>
      </c>
      <c r="AR14">
        <v>672</v>
      </c>
      <c r="BG14" t="s">
        <v>778</v>
      </c>
      <c r="BI14">
        <v>61</v>
      </c>
      <c r="CC14" t="s">
        <v>189</v>
      </c>
      <c r="CD14">
        <v>170</v>
      </c>
    </row>
    <row r="15" spans="2:82" x14ac:dyDescent="0.3">
      <c r="G15" s="4" t="s">
        <v>32</v>
      </c>
      <c r="H15">
        <v>1</v>
      </c>
      <c r="I15">
        <v>0</v>
      </c>
      <c r="K15" s="4" t="s">
        <v>20</v>
      </c>
      <c r="L15">
        <v>310</v>
      </c>
      <c r="N15" s="4" t="s">
        <v>32</v>
      </c>
      <c r="O15">
        <v>0</v>
      </c>
      <c r="Q15" s="4" t="s">
        <v>32</v>
      </c>
      <c r="R15">
        <v>5000001</v>
      </c>
      <c r="W15" t="s">
        <v>779</v>
      </c>
      <c r="X15">
        <f>_xlfn.XLOOKUP(X11,G4:G675,H4:H675)</f>
        <v>1</v>
      </c>
      <c r="AB15">
        <v>0</v>
      </c>
      <c r="AC15">
        <v>0</v>
      </c>
      <c r="AD15">
        <v>0</v>
      </c>
      <c r="AE15">
        <v>0</v>
      </c>
      <c r="BG15" t="s">
        <v>189</v>
      </c>
      <c r="BH15" t="s">
        <v>18</v>
      </c>
      <c r="BI15">
        <v>27</v>
      </c>
      <c r="CC15" t="s">
        <v>19</v>
      </c>
      <c r="CD15">
        <v>237</v>
      </c>
    </row>
    <row r="16" spans="2:82" x14ac:dyDescent="0.3">
      <c r="G16" s="4" t="s">
        <v>33</v>
      </c>
      <c r="H16">
        <v>2</v>
      </c>
      <c r="I16">
        <v>0</v>
      </c>
      <c r="K16" s="4" t="s">
        <v>339</v>
      </c>
      <c r="L16">
        <v>3</v>
      </c>
      <c r="N16" s="4" t="s">
        <v>33</v>
      </c>
      <c r="O16">
        <v>0</v>
      </c>
      <c r="Q16" s="4" t="s">
        <v>33</v>
      </c>
      <c r="R16">
        <v>5000001</v>
      </c>
      <c r="W16" t="s">
        <v>10</v>
      </c>
      <c r="X16">
        <f>_xlfn.XLOOKUP(X11,G4:G675,I4:I675)</f>
        <v>0</v>
      </c>
      <c r="AB16">
        <v>0</v>
      </c>
      <c r="AC16">
        <v>0</v>
      </c>
      <c r="AD16">
        <v>0</v>
      </c>
      <c r="AE16">
        <v>0</v>
      </c>
      <c r="BH16" t="s">
        <v>220</v>
      </c>
      <c r="BI16">
        <v>35</v>
      </c>
      <c r="CC16" t="s">
        <v>133</v>
      </c>
      <c r="CD16">
        <v>178</v>
      </c>
    </row>
    <row r="17" spans="7:82" x14ac:dyDescent="0.3">
      <c r="G17" s="4" t="s">
        <v>34</v>
      </c>
      <c r="H17">
        <v>1</v>
      </c>
      <c r="I17">
        <v>0</v>
      </c>
      <c r="K17" s="4" t="s">
        <v>131</v>
      </c>
      <c r="L17">
        <v>1</v>
      </c>
      <c r="N17" s="4" t="s">
        <v>34</v>
      </c>
      <c r="O17">
        <v>0</v>
      </c>
      <c r="Q17" s="4" t="s">
        <v>34</v>
      </c>
      <c r="R17">
        <v>5000001</v>
      </c>
      <c r="AB17">
        <v>0</v>
      </c>
      <c r="AC17">
        <v>0</v>
      </c>
      <c r="AD17">
        <v>0</v>
      </c>
      <c r="AE17">
        <v>0</v>
      </c>
      <c r="BG17" t="s">
        <v>780</v>
      </c>
      <c r="BI17">
        <v>62</v>
      </c>
      <c r="CC17" t="s">
        <v>773</v>
      </c>
      <c r="CD17">
        <v>1720</v>
      </c>
    </row>
    <row r="18" spans="7:82" x14ac:dyDescent="0.3">
      <c r="G18" s="4" t="s">
        <v>28</v>
      </c>
      <c r="H18">
        <v>1</v>
      </c>
      <c r="I18">
        <v>0</v>
      </c>
      <c r="K18" s="4" t="s">
        <v>562</v>
      </c>
      <c r="L18">
        <v>1</v>
      </c>
      <c r="N18" s="4" t="s">
        <v>28</v>
      </c>
      <c r="O18">
        <v>0</v>
      </c>
      <c r="Q18" s="4" t="s">
        <v>28</v>
      </c>
      <c r="R18">
        <v>5000001</v>
      </c>
      <c r="AB18">
        <v>0</v>
      </c>
      <c r="AC18">
        <v>0</v>
      </c>
      <c r="AD18">
        <v>0</v>
      </c>
      <c r="AE18">
        <v>0</v>
      </c>
      <c r="AN18" t="str" cm="1">
        <f t="array" ref="AN18:AR25">AN7:AR14</f>
        <v>Branch</v>
      </c>
      <c r="AO18" t="str">
        <v>ACET</v>
      </c>
      <c r="AP18" t="str">
        <v>ACOE</v>
      </c>
      <c r="AQ18" t="str">
        <v>AEC</v>
      </c>
      <c r="AR18" t="str">
        <v>Grand Total</v>
      </c>
      <c r="AT18" t="str" cm="1">
        <f t="array" ref="AT18:AY25">AT6:AY13</f>
        <v>Branch</v>
      </c>
      <c r="AU18" t="str">
        <v>Sum of C Language</v>
      </c>
      <c r="AV18" t="str">
        <v>Sum of Cpp</v>
      </c>
      <c r="AW18" t="str">
        <v>Sum of Java</v>
      </c>
      <c r="AX18" t="str">
        <v>Sum of Sql</v>
      </c>
      <c r="AY18" t="str">
        <v>Sum of Python</v>
      </c>
      <c r="BG18" t="s">
        <v>19</v>
      </c>
      <c r="BH18" t="s">
        <v>18</v>
      </c>
      <c r="BI18">
        <v>15</v>
      </c>
    </row>
    <row r="19" spans="7:82" x14ac:dyDescent="0.3">
      <c r="G19" s="4" t="s">
        <v>35</v>
      </c>
      <c r="H19">
        <v>1</v>
      </c>
      <c r="I19">
        <v>0</v>
      </c>
      <c r="K19" s="4" t="s">
        <v>559</v>
      </c>
      <c r="L19">
        <v>1</v>
      </c>
      <c r="N19" s="4" t="s">
        <v>35</v>
      </c>
      <c r="O19">
        <v>0</v>
      </c>
      <c r="Q19" s="4" t="s">
        <v>35</v>
      </c>
      <c r="R19">
        <v>5000001</v>
      </c>
      <c r="W19" t="s">
        <v>781</v>
      </c>
      <c r="X19">
        <f>GETPIVOTDATA("Sum of Badges Count",$G$3)</f>
        <v>1720</v>
      </c>
      <c r="AB19">
        <v>0</v>
      </c>
      <c r="AC19">
        <v>0</v>
      </c>
      <c r="AD19">
        <v>0</v>
      </c>
      <c r="AE19">
        <v>0</v>
      </c>
      <c r="AN19" t="str">
        <v>AI&amp;ML</v>
      </c>
      <c r="AO19">
        <v>43</v>
      </c>
      <c r="AP19">
        <v>72</v>
      </c>
      <c r="AQ19">
        <v>0</v>
      </c>
      <c r="AR19">
        <v>115</v>
      </c>
      <c r="AT19" t="str">
        <v>AI&amp;ML</v>
      </c>
      <c r="AU19">
        <v>262</v>
      </c>
      <c r="AV19">
        <v>48</v>
      </c>
      <c r="AW19">
        <v>141</v>
      </c>
      <c r="AX19">
        <v>209</v>
      </c>
      <c r="AY19">
        <v>132</v>
      </c>
      <c r="BH19" t="s">
        <v>220</v>
      </c>
      <c r="BI19">
        <v>28</v>
      </c>
    </row>
    <row r="20" spans="7:82" x14ac:dyDescent="0.3">
      <c r="G20" s="4" t="s">
        <v>37</v>
      </c>
      <c r="H20">
        <v>1</v>
      </c>
      <c r="I20">
        <v>0</v>
      </c>
      <c r="K20" s="4" t="s">
        <v>140</v>
      </c>
      <c r="L20">
        <v>4</v>
      </c>
      <c r="N20" s="4" t="s">
        <v>37</v>
      </c>
      <c r="O20">
        <v>0</v>
      </c>
      <c r="Q20" s="4" t="s">
        <v>37</v>
      </c>
      <c r="R20">
        <v>5000001</v>
      </c>
      <c r="W20" t="s">
        <v>782</v>
      </c>
      <c r="X20">
        <f>GETPIVOTDATA("Sum of Certificate Count",$G$3)</f>
        <v>682</v>
      </c>
      <c r="AB20">
        <v>0</v>
      </c>
      <c r="AC20">
        <v>0</v>
      </c>
      <c r="AD20">
        <v>0</v>
      </c>
      <c r="AE20">
        <v>0</v>
      </c>
      <c r="AN20" t="str">
        <v>CSE</v>
      </c>
      <c r="AO20">
        <v>74</v>
      </c>
      <c r="AP20">
        <v>102</v>
      </c>
      <c r="AQ20">
        <v>86</v>
      </c>
      <c r="AR20">
        <v>262</v>
      </c>
      <c r="AT20" t="str">
        <v>CSE</v>
      </c>
      <c r="AU20">
        <v>677</v>
      </c>
      <c r="AV20">
        <v>120</v>
      </c>
      <c r="AW20">
        <v>224</v>
      </c>
      <c r="AX20">
        <v>612</v>
      </c>
      <c r="AY20">
        <v>346</v>
      </c>
      <c r="BH20" t="s">
        <v>515</v>
      </c>
      <c r="BI20">
        <v>50</v>
      </c>
    </row>
    <row r="21" spans="7:82" x14ac:dyDescent="0.3">
      <c r="G21" s="4" t="s">
        <v>38</v>
      </c>
      <c r="H21">
        <v>1</v>
      </c>
      <c r="I21">
        <v>0</v>
      </c>
      <c r="K21" s="4" t="s">
        <v>574</v>
      </c>
      <c r="L21">
        <v>1</v>
      </c>
      <c r="N21" s="4" t="s">
        <v>38</v>
      </c>
      <c r="O21">
        <v>0</v>
      </c>
      <c r="Q21" s="4" t="s">
        <v>38</v>
      </c>
      <c r="R21">
        <v>5000001</v>
      </c>
      <c r="AB21">
        <v>0</v>
      </c>
      <c r="AC21">
        <v>0</v>
      </c>
      <c r="AD21">
        <v>0</v>
      </c>
      <c r="AE21">
        <v>0</v>
      </c>
      <c r="AN21" t="str">
        <v>CSE(AI&amp;DS)</v>
      </c>
      <c r="AO21">
        <v>0</v>
      </c>
      <c r="AP21">
        <v>0</v>
      </c>
      <c r="AQ21">
        <v>61</v>
      </c>
      <c r="AR21">
        <v>61</v>
      </c>
      <c r="AT21" t="str">
        <v>CSE(AI&amp;DS)</v>
      </c>
      <c r="AU21">
        <v>36</v>
      </c>
      <c r="AV21">
        <v>2</v>
      </c>
      <c r="AW21">
        <v>38</v>
      </c>
      <c r="AX21">
        <v>44</v>
      </c>
      <c r="AY21">
        <v>65</v>
      </c>
      <c r="BG21" t="s">
        <v>783</v>
      </c>
      <c r="BI21">
        <v>93</v>
      </c>
    </row>
    <row r="22" spans="7:82" x14ac:dyDescent="0.3">
      <c r="G22" s="4" t="s">
        <v>39</v>
      </c>
      <c r="H22">
        <v>0</v>
      </c>
      <c r="I22">
        <v>0</v>
      </c>
      <c r="K22" s="4" t="s">
        <v>247</v>
      </c>
      <c r="L22">
        <v>6</v>
      </c>
      <c r="N22" s="4" t="s">
        <v>39</v>
      </c>
      <c r="O22">
        <v>0</v>
      </c>
      <c r="Q22" s="4" t="s">
        <v>39</v>
      </c>
      <c r="R22">
        <v>5000001</v>
      </c>
      <c r="AB22">
        <v>0</v>
      </c>
      <c r="AC22">
        <v>0</v>
      </c>
      <c r="AD22">
        <v>0</v>
      </c>
      <c r="AE22">
        <v>0</v>
      </c>
      <c r="AN22" t="str">
        <v>DS</v>
      </c>
      <c r="AO22">
        <v>27</v>
      </c>
      <c r="AP22">
        <v>35</v>
      </c>
      <c r="AQ22">
        <v>0</v>
      </c>
      <c r="AR22">
        <v>62</v>
      </c>
      <c r="AT22" t="str">
        <v>DS</v>
      </c>
      <c r="AU22">
        <v>179</v>
      </c>
      <c r="AV22">
        <v>21</v>
      </c>
      <c r="AW22">
        <v>60</v>
      </c>
      <c r="AX22">
        <v>127</v>
      </c>
      <c r="AY22">
        <v>63</v>
      </c>
      <c r="BG22" t="s">
        <v>133</v>
      </c>
      <c r="BH22" t="s">
        <v>18</v>
      </c>
      <c r="BI22">
        <v>8</v>
      </c>
    </row>
    <row r="23" spans="7:82" x14ac:dyDescent="0.3">
      <c r="G23" s="4" t="s">
        <v>40</v>
      </c>
      <c r="H23">
        <v>2</v>
      </c>
      <c r="I23">
        <v>0</v>
      </c>
      <c r="K23" s="4" t="s">
        <v>743</v>
      </c>
      <c r="L23">
        <v>1</v>
      </c>
      <c r="N23" s="4" t="s">
        <v>40</v>
      </c>
      <c r="O23">
        <v>17</v>
      </c>
      <c r="Q23" s="4" t="s">
        <v>40</v>
      </c>
      <c r="R23">
        <v>5000001</v>
      </c>
      <c r="AB23">
        <v>0</v>
      </c>
      <c r="AC23">
        <v>0</v>
      </c>
      <c r="AD23">
        <v>0</v>
      </c>
      <c r="AE23">
        <v>0</v>
      </c>
      <c r="AN23" t="str">
        <v>ECE</v>
      </c>
      <c r="AO23">
        <v>15</v>
      </c>
      <c r="AP23">
        <v>28</v>
      </c>
      <c r="AQ23">
        <v>50</v>
      </c>
      <c r="AR23">
        <v>93</v>
      </c>
      <c r="AT23" t="str">
        <v>ECE</v>
      </c>
      <c r="AU23">
        <v>239</v>
      </c>
      <c r="AV23">
        <v>29</v>
      </c>
      <c r="AW23">
        <v>65</v>
      </c>
      <c r="AX23">
        <v>180</v>
      </c>
      <c r="AY23">
        <v>87</v>
      </c>
      <c r="BH23" t="s">
        <v>220</v>
      </c>
      <c r="BI23">
        <v>40</v>
      </c>
    </row>
    <row r="24" spans="7:82" x14ac:dyDescent="0.3">
      <c r="G24" s="4" t="s">
        <v>41</v>
      </c>
      <c r="H24">
        <v>0</v>
      </c>
      <c r="I24">
        <v>0</v>
      </c>
      <c r="K24" s="4" t="s">
        <v>287</v>
      </c>
      <c r="L24">
        <v>1</v>
      </c>
      <c r="N24" s="4" t="s">
        <v>41</v>
      </c>
      <c r="O24">
        <v>0</v>
      </c>
      <c r="Q24" s="4" t="s">
        <v>41</v>
      </c>
      <c r="R24">
        <v>5000001</v>
      </c>
      <c r="AB24">
        <v>0</v>
      </c>
      <c r="AC24">
        <v>0</v>
      </c>
      <c r="AD24">
        <v>0</v>
      </c>
      <c r="AE24">
        <v>0</v>
      </c>
      <c r="AN24" t="str">
        <v>IT</v>
      </c>
      <c r="AO24">
        <v>8</v>
      </c>
      <c r="AP24">
        <v>40</v>
      </c>
      <c r="AQ24">
        <v>31</v>
      </c>
      <c r="AR24">
        <v>79</v>
      </c>
      <c r="AT24" t="str">
        <v>IT</v>
      </c>
      <c r="AU24">
        <v>140</v>
      </c>
      <c r="AV24">
        <v>25</v>
      </c>
      <c r="AW24">
        <v>51</v>
      </c>
      <c r="AX24">
        <v>132</v>
      </c>
      <c r="AY24">
        <v>74</v>
      </c>
      <c r="BH24" t="s">
        <v>515</v>
      </c>
      <c r="BI24">
        <v>31</v>
      </c>
    </row>
    <row r="25" spans="7:82" x14ac:dyDescent="0.3">
      <c r="G25" s="4" t="s">
        <v>42</v>
      </c>
      <c r="H25">
        <v>2</v>
      </c>
      <c r="I25">
        <v>0</v>
      </c>
      <c r="K25" s="4" t="s">
        <v>578</v>
      </c>
      <c r="L25">
        <v>1</v>
      </c>
      <c r="N25" s="4" t="s">
        <v>42</v>
      </c>
      <c r="O25">
        <v>20</v>
      </c>
      <c r="Q25" s="4" t="s">
        <v>42</v>
      </c>
      <c r="R25">
        <v>3007218</v>
      </c>
      <c r="AB25">
        <v>0</v>
      </c>
      <c r="AC25">
        <v>0</v>
      </c>
      <c r="AD25">
        <v>0</v>
      </c>
      <c r="AE25">
        <v>0</v>
      </c>
      <c r="AN25" t="str">
        <v>Grand Total</v>
      </c>
      <c r="AO25">
        <v>167</v>
      </c>
      <c r="AP25">
        <v>277</v>
      </c>
      <c r="AQ25">
        <v>228</v>
      </c>
      <c r="AR25">
        <v>672</v>
      </c>
      <c r="AT25" t="str">
        <v>Grand Total</v>
      </c>
      <c r="AU25">
        <v>1533</v>
      </c>
      <c r="AV25">
        <v>245</v>
      </c>
      <c r="AW25">
        <v>579</v>
      </c>
      <c r="AX25">
        <v>1304</v>
      </c>
      <c r="AY25">
        <v>767</v>
      </c>
      <c r="BG25" t="s">
        <v>784</v>
      </c>
      <c r="BI25">
        <v>79</v>
      </c>
    </row>
    <row r="26" spans="7:82" x14ac:dyDescent="0.3">
      <c r="G26" s="4" t="s">
        <v>43</v>
      </c>
      <c r="H26">
        <v>2</v>
      </c>
      <c r="I26">
        <v>0</v>
      </c>
      <c r="K26" s="4" t="s">
        <v>284</v>
      </c>
      <c r="L26">
        <v>1</v>
      </c>
      <c r="N26" s="4" t="s">
        <v>43</v>
      </c>
      <c r="O26">
        <v>0</v>
      </c>
      <c r="Q26" s="4" t="s">
        <v>43</v>
      </c>
      <c r="R26">
        <v>5000001</v>
      </c>
      <c r="AB26">
        <v>0</v>
      </c>
      <c r="AC26">
        <v>0</v>
      </c>
      <c r="AD26">
        <v>0</v>
      </c>
      <c r="AE26">
        <v>0</v>
      </c>
      <c r="BG26" t="s">
        <v>773</v>
      </c>
      <c r="BI26">
        <v>672</v>
      </c>
    </row>
    <row r="27" spans="7:82" x14ac:dyDescent="0.3">
      <c r="G27" s="4" t="s">
        <v>44</v>
      </c>
      <c r="H27">
        <v>2</v>
      </c>
      <c r="I27">
        <v>0</v>
      </c>
      <c r="K27" s="4" t="s">
        <v>583</v>
      </c>
      <c r="L27">
        <v>5</v>
      </c>
      <c r="N27" s="4" t="s">
        <v>44</v>
      </c>
      <c r="O27">
        <v>28</v>
      </c>
      <c r="Q27" s="4" t="s">
        <v>44</v>
      </c>
      <c r="R27">
        <v>5000001</v>
      </c>
      <c r="AB27">
        <v>0</v>
      </c>
      <c r="AC27">
        <v>0</v>
      </c>
      <c r="AD27">
        <v>0</v>
      </c>
      <c r="AE27">
        <v>0</v>
      </c>
    </row>
    <row r="28" spans="7:82" x14ac:dyDescent="0.3">
      <c r="G28" s="4" t="s">
        <v>46</v>
      </c>
      <c r="H28">
        <v>1</v>
      </c>
      <c r="I28">
        <v>0</v>
      </c>
      <c r="K28" s="4" t="s">
        <v>587</v>
      </c>
      <c r="L28">
        <v>1</v>
      </c>
      <c r="N28" s="4" t="s">
        <v>46</v>
      </c>
      <c r="O28">
        <v>0</v>
      </c>
      <c r="Q28" s="4" t="s">
        <v>46</v>
      </c>
      <c r="R28">
        <v>5000001</v>
      </c>
      <c r="AB28">
        <v>0</v>
      </c>
      <c r="AC28">
        <v>0</v>
      </c>
      <c r="AD28">
        <v>0</v>
      </c>
      <c r="AE28">
        <v>0</v>
      </c>
    </row>
    <row r="29" spans="7:82" x14ac:dyDescent="0.3">
      <c r="G29" s="4" t="s">
        <v>48</v>
      </c>
      <c r="H29">
        <v>1</v>
      </c>
      <c r="I29">
        <v>0</v>
      </c>
      <c r="K29" s="4" t="s">
        <v>120</v>
      </c>
      <c r="L29">
        <v>5</v>
      </c>
      <c r="N29" s="4" t="s">
        <v>48</v>
      </c>
      <c r="O29">
        <v>0</v>
      </c>
      <c r="Q29" s="4" t="s">
        <v>48</v>
      </c>
      <c r="R29">
        <v>5000001</v>
      </c>
      <c r="AB29">
        <v>0</v>
      </c>
      <c r="AC29">
        <v>0</v>
      </c>
      <c r="AD29">
        <v>0</v>
      </c>
      <c r="AE29">
        <v>0</v>
      </c>
    </row>
    <row r="30" spans="7:82" x14ac:dyDescent="0.3">
      <c r="G30" s="4" t="s">
        <v>50</v>
      </c>
      <c r="H30">
        <v>2</v>
      </c>
      <c r="I30">
        <v>0</v>
      </c>
      <c r="K30" s="4" t="s">
        <v>71</v>
      </c>
      <c r="L30">
        <v>114</v>
      </c>
      <c r="N30" s="4" t="s">
        <v>50</v>
      </c>
      <c r="O30">
        <v>15</v>
      </c>
      <c r="Q30" s="4" t="s">
        <v>50</v>
      </c>
      <c r="R30">
        <v>5000001</v>
      </c>
      <c r="AB30">
        <v>0</v>
      </c>
      <c r="AC30">
        <v>0</v>
      </c>
      <c r="AD30">
        <v>0</v>
      </c>
      <c r="AE30">
        <v>0</v>
      </c>
    </row>
    <row r="31" spans="7:82" x14ac:dyDescent="0.3">
      <c r="G31" s="4" t="s">
        <v>52</v>
      </c>
      <c r="H31">
        <v>1</v>
      </c>
      <c r="I31">
        <v>0</v>
      </c>
      <c r="K31" s="4" t="s">
        <v>710</v>
      </c>
      <c r="L31">
        <v>1</v>
      </c>
      <c r="N31" s="4" t="s">
        <v>52</v>
      </c>
      <c r="O31">
        <v>0</v>
      </c>
      <c r="Q31" s="4" t="s">
        <v>52</v>
      </c>
      <c r="R31">
        <v>5000001</v>
      </c>
      <c r="AB31">
        <v>0</v>
      </c>
      <c r="AC31">
        <v>0</v>
      </c>
      <c r="AD31">
        <v>0</v>
      </c>
      <c r="AE31">
        <v>0</v>
      </c>
    </row>
    <row r="32" spans="7:82" x14ac:dyDescent="0.3">
      <c r="G32" s="4" t="s">
        <v>53</v>
      </c>
      <c r="H32">
        <v>1</v>
      </c>
      <c r="I32">
        <v>0</v>
      </c>
      <c r="K32" s="4" t="s">
        <v>87</v>
      </c>
      <c r="L32">
        <v>1</v>
      </c>
      <c r="N32" s="4" t="s">
        <v>53</v>
      </c>
      <c r="O32">
        <v>0</v>
      </c>
      <c r="Q32" s="4" t="s">
        <v>53</v>
      </c>
      <c r="R32">
        <v>5000001</v>
      </c>
      <c r="AB32">
        <v>0</v>
      </c>
      <c r="AC32">
        <v>0</v>
      </c>
      <c r="AD32">
        <v>0</v>
      </c>
      <c r="AE32">
        <v>0</v>
      </c>
    </row>
    <row r="33" spans="7:31" x14ac:dyDescent="0.3">
      <c r="G33" s="4" t="s">
        <v>54</v>
      </c>
      <c r="H33">
        <v>1</v>
      </c>
      <c r="I33">
        <v>0</v>
      </c>
      <c r="K33" s="4" t="s">
        <v>410</v>
      </c>
      <c r="L33">
        <v>1</v>
      </c>
      <c r="N33" s="4" t="s">
        <v>54</v>
      </c>
      <c r="O33">
        <v>0</v>
      </c>
      <c r="Q33" s="4" t="s">
        <v>54</v>
      </c>
      <c r="R33">
        <v>5000001</v>
      </c>
      <c r="AB33">
        <v>0</v>
      </c>
      <c r="AC33">
        <v>0</v>
      </c>
      <c r="AD33">
        <v>0</v>
      </c>
      <c r="AE33">
        <v>0</v>
      </c>
    </row>
    <row r="34" spans="7:31" x14ac:dyDescent="0.3">
      <c r="G34" s="4" t="s">
        <v>55</v>
      </c>
      <c r="H34">
        <v>2</v>
      </c>
      <c r="I34">
        <v>0</v>
      </c>
      <c r="K34" s="4" t="s">
        <v>65</v>
      </c>
      <c r="L34">
        <v>1</v>
      </c>
      <c r="N34" s="4" t="s">
        <v>55</v>
      </c>
      <c r="O34">
        <v>7</v>
      </c>
      <c r="Q34" s="4" t="s">
        <v>55</v>
      </c>
      <c r="R34">
        <v>4666138</v>
      </c>
      <c r="AB34">
        <v>0</v>
      </c>
      <c r="AC34">
        <v>0</v>
      </c>
      <c r="AD34">
        <v>0</v>
      </c>
      <c r="AE34">
        <v>0</v>
      </c>
    </row>
    <row r="35" spans="7:31" x14ac:dyDescent="0.3">
      <c r="G35" s="4" t="s">
        <v>56</v>
      </c>
      <c r="H35">
        <v>1</v>
      </c>
      <c r="I35">
        <v>0</v>
      </c>
      <c r="K35" s="4" t="s">
        <v>326</v>
      </c>
      <c r="L35">
        <v>1</v>
      </c>
      <c r="N35" s="4" t="s">
        <v>56</v>
      </c>
      <c r="O35">
        <v>2</v>
      </c>
      <c r="Q35" s="4" t="s">
        <v>56</v>
      </c>
      <c r="R35">
        <v>4325798</v>
      </c>
      <c r="AB35">
        <v>0</v>
      </c>
      <c r="AC35">
        <v>0</v>
      </c>
      <c r="AD35">
        <v>0</v>
      </c>
      <c r="AE35">
        <v>0</v>
      </c>
    </row>
    <row r="36" spans="7:31" x14ac:dyDescent="0.3">
      <c r="G36" s="4" t="s">
        <v>57</v>
      </c>
      <c r="H36">
        <v>0</v>
      </c>
      <c r="I36">
        <v>0</v>
      </c>
      <c r="K36" s="4" t="s">
        <v>549</v>
      </c>
      <c r="L36">
        <v>1</v>
      </c>
      <c r="N36" s="4" t="s">
        <v>57</v>
      </c>
      <c r="O36">
        <v>0</v>
      </c>
      <c r="Q36" s="4" t="s">
        <v>57</v>
      </c>
      <c r="R36">
        <v>5000001</v>
      </c>
      <c r="AB36">
        <v>0</v>
      </c>
      <c r="AC36">
        <v>0</v>
      </c>
      <c r="AD36">
        <v>0</v>
      </c>
      <c r="AE36">
        <v>0</v>
      </c>
    </row>
    <row r="37" spans="7:31" x14ac:dyDescent="0.3">
      <c r="G37" s="4" t="s">
        <v>58</v>
      </c>
      <c r="H37">
        <v>1</v>
      </c>
      <c r="I37">
        <v>0</v>
      </c>
      <c r="K37" s="4" t="s">
        <v>76</v>
      </c>
      <c r="L37">
        <v>1</v>
      </c>
      <c r="N37" s="4" t="s">
        <v>58</v>
      </c>
      <c r="O37">
        <v>0</v>
      </c>
      <c r="Q37" s="4" t="s">
        <v>58</v>
      </c>
      <c r="R37">
        <v>5000001</v>
      </c>
      <c r="AB37">
        <v>0</v>
      </c>
      <c r="AC37">
        <v>0</v>
      </c>
      <c r="AD37">
        <v>0</v>
      </c>
      <c r="AE37">
        <v>0</v>
      </c>
    </row>
    <row r="38" spans="7:31" x14ac:dyDescent="0.3">
      <c r="G38" s="4" t="s">
        <v>59</v>
      </c>
      <c r="H38">
        <v>1</v>
      </c>
      <c r="I38">
        <v>0</v>
      </c>
      <c r="K38" s="4" t="s">
        <v>118</v>
      </c>
      <c r="L38">
        <v>2</v>
      </c>
      <c r="N38" s="4" t="s">
        <v>59</v>
      </c>
      <c r="O38">
        <v>0</v>
      </c>
      <c r="Q38" s="4" t="s">
        <v>59</v>
      </c>
      <c r="R38">
        <v>5000001</v>
      </c>
      <c r="AB38">
        <v>0</v>
      </c>
      <c r="AC38">
        <v>0</v>
      </c>
      <c r="AD38">
        <v>0</v>
      </c>
      <c r="AE38">
        <v>0</v>
      </c>
    </row>
    <row r="39" spans="7:31" x14ac:dyDescent="0.3">
      <c r="G39" s="4" t="s">
        <v>60</v>
      </c>
      <c r="H39">
        <v>2</v>
      </c>
      <c r="I39">
        <v>0</v>
      </c>
      <c r="K39" s="4" t="s">
        <v>106</v>
      </c>
      <c r="L39">
        <v>5</v>
      </c>
      <c r="N39" s="4" t="s">
        <v>60</v>
      </c>
      <c r="O39">
        <v>0</v>
      </c>
      <c r="Q39" s="4" t="s">
        <v>60</v>
      </c>
      <c r="R39">
        <v>3010862</v>
      </c>
      <c r="AB39">
        <v>0</v>
      </c>
      <c r="AC39">
        <v>0</v>
      </c>
      <c r="AD39">
        <v>0</v>
      </c>
      <c r="AE39">
        <v>0</v>
      </c>
    </row>
    <row r="40" spans="7:31" x14ac:dyDescent="0.3">
      <c r="G40" s="4" t="s">
        <v>61</v>
      </c>
      <c r="H40">
        <v>3</v>
      </c>
      <c r="I40">
        <v>0</v>
      </c>
      <c r="K40" s="4" t="s">
        <v>403</v>
      </c>
      <c r="L40">
        <v>1</v>
      </c>
      <c r="N40" s="4" t="s">
        <v>61</v>
      </c>
      <c r="O40">
        <v>0</v>
      </c>
      <c r="Q40" s="4" t="s">
        <v>61</v>
      </c>
      <c r="R40">
        <v>5000001</v>
      </c>
      <c r="AB40">
        <v>0</v>
      </c>
      <c r="AC40">
        <v>0</v>
      </c>
      <c r="AD40">
        <v>0</v>
      </c>
      <c r="AE40">
        <v>0</v>
      </c>
    </row>
    <row r="41" spans="7:31" x14ac:dyDescent="0.3">
      <c r="G41" s="4" t="s">
        <v>62</v>
      </c>
      <c r="H41">
        <v>1</v>
      </c>
      <c r="I41">
        <v>0</v>
      </c>
      <c r="K41" s="4" t="s">
        <v>518</v>
      </c>
      <c r="L41">
        <v>1</v>
      </c>
      <c r="N41" s="4" t="s">
        <v>62</v>
      </c>
      <c r="O41">
        <v>0</v>
      </c>
      <c r="Q41" s="4" t="s">
        <v>62</v>
      </c>
      <c r="R41">
        <v>5000001</v>
      </c>
      <c r="AB41">
        <v>0</v>
      </c>
      <c r="AC41">
        <v>0</v>
      </c>
      <c r="AD41">
        <v>0</v>
      </c>
      <c r="AE41">
        <v>0</v>
      </c>
    </row>
    <row r="42" spans="7:31" x14ac:dyDescent="0.3">
      <c r="G42" s="4" t="s">
        <v>63</v>
      </c>
      <c r="H42">
        <v>0</v>
      </c>
      <c r="I42">
        <v>0</v>
      </c>
      <c r="K42" s="4" t="s">
        <v>233</v>
      </c>
      <c r="L42">
        <v>1</v>
      </c>
      <c r="N42" s="4" t="s">
        <v>63</v>
      </c>
      <c r="O42">
        <v>0</v>
      </c>
      <c r="Q42" s="4" t="s">
        <v>63</v>
      </c>
      <c r="R42">
        <v>5000001</v>
      </c>
      <c r="AB42">
        <v>0</v>
      </c>
      <c r="AC42">
        <v>0</v>
      </c>
      <c r="AD42">
        <v>0</v>
      </c>
      <c r="AE42">
        <v>0</v>
      </c>
    </row>
    <row r="43" spans="7:31" x14ac:dyDescent="0.3">
      <c r="G43" s="4" t="s">
        <v>64</v>
      </c>
      <c r="H43">
        <v>4</v>
      </c>
      <c r="I43">
        <v>3</v>
      </c>
      <c r="K43" s="4" t="s">
        <v>81</v>
      </c>
      <c r="L43">
        <v>3</v>
      </c>
      <c r="N43" s="4" t="s">
        <v>64</v>
      </c>
      <c r="O43">
        <v>91</v>
      </c>
      <c r="Q43" s="4" t="s">
        <v>64</v>
      </c>
      <c r="R43">
        <v>736091</v>
      </c>
      <c r="AB43">
        <v>0</v>
      </c>
      <c r="AC43">
        <v>0</v>
      </c>
      <c r="AD43">
        <v>0</v>
      </c>
      <c r="AE43">
        <v>0</v>
      </c>
    </row>
    <row r="44" spans="7:31" x14ac:dyDescent="0.3">
      <c r="G44" s="4" t="s">
        <v>66</v>
      </c>
      <c r="H44">
        <v>6</v>
      </c>
      <c r="I44">
        <v>2</v>
      </c>
      <c r="K44" s="4" t="s">
        <v>103</v>
      </c>
      <c r="L44">
        <v>1</v>
      </c>
      <c r="N44" s="4" t="s">
        <v>66</v>
      </c>
      <c r="O44">
        <v>441</v>
      </c>
      <c r="Q44" s="4" t="s">
        <v>66</v>
      </c>
      <c r="R44">
        <v>351689</v>
      </c>
      <c r="AB44">
        <v>0</v>
      </c>
      <c r="AC44">
        <v>0</v>
      </c>
      <c r="AD44">
        <v>0</v>
      </c>
      <c r="AE44">
        <v>0</v>
      </c>
    </row>
    <row r="45" spans="7:31" x14ac:dyDescent="0.3">
      <c r="G45" s="4" t="s">
        <v>68</v>
      </c>
      <c r="H45">
        <v>4</v>
      </c>
      <c r="I45">
        <v>2</v>
      </c>
      <c r="K45" s="4" t="s">
        <v>368</v>
      </c>
      <c r="L45">
        <v>1</v>
      </c>
      <c r="N45" s="4" t="s">
        <v>68</v>
      </c>
      <c r="O45">
        <v>12</v>
      </c>
      <c r="Q45" s="4" t="s">
        <v>68</v>
      </c>
      <c r="R45">
        <v>2122860</v>
      </c>
      <c r="AB45">
        <v>0</v>
      </c>
      <c r="AC45">
        <v>0</v>
      </c>
      <c r="AD45">
        <v>0</v>
      </c>
      <c r="AE45">
        <v>0</v>
      </c>
    </row>
    <row r="46" spans="7:31" x14ac:dyDescent="0.3">
      <c r="G46" s="4" t="s">
        <v>70</v>
      </c>
      <c r="H46">
        <v>5</v>
      </c>
      <c r="I46">
        <v>1</v>
      </c>
      <c r="K46" s="4" t="s">
        <v>67</v>
      </c>
      <c r="L46">
        <v>140</v>
      </c>
      <c r="N46" s="4" t="s">
        <v>70</v>
      </c>
      <c r="O46">
        <v>51</v>
      </c>
      <c r="Q46" s="4" t="s">
        <v>70</v>
      </c>
      <c r="R46">
        <v>5000001</v>
      </c>
      <c r="AB46">
        <v>0</v>
      </c>
      <c r="AC46">
        <v>0</v>
      </c>
      <c r="AD46">
        <v>0</v>
      </c>
      <c r="AE46">
        <v>0</v>
      </c>
    </row>
    <row r="47" spans="7:31" x14ac:dyDescent="0.3">
      <c r="G47" s="4" t="s">
        <v>72</v>
      </c>
      <c r="H47">
        <v>6</v>
      </c>
      <c r="I47">
        <v>1</v>
      </c>
      <c r="K47" s="4" t="s">
        <v>334</v>
      </c>
      <c r="L47">
        <v>6</v>
      </c>
      <c r="N47" s="4" t="s">
        <v>72</v>
      </c>
      <c r="O47">
        <v>423</v>
      </c>
      <c r="Q47" s="4" t="s">
        <v>72</v>
      </c>
      <c r="R47">
        <v>253991</v>
      </c>
      <c r="AB47">
        <v>0</v>
      </c>
      <c r="AC47">
        <v>0</v>
      </c>
      <c r="AD47">
        <v>0</v>
      </c>
      <c r="AE47">
        <v>0</v>
      </c>
    </row>
    <row r="48" spans="7:31" x14ac:dyDescent="0.3">
      <c r="G48" s="4" t="s">
        <v>73</v>
      </c>
      <c r="H48">
        <v>5</v>
      </c>
      <c r="I48">
        <v>1</v>
      </c>
      <c r="K48" s="4" t="s">
        <v>292</v>
      </c>
      <c r="L48">
        <v>1</v>
      </c>
      <c r="N48" s="4" t="s">
        <v>73</v>
      </c>
      <c r="O48">
        <v>5</v>
      </c>
      <c r="Q48" s="4" t="s">
        <v>73</v>
      </c>
      <c r="R48">
        <v>1391806</v>
      </c>
      <c r="AB48">
        <v>0</v>
      </c>
      <c r="AC48">
        <v>0</v>
      </c>
      <c r="AD48">
        <v>0</v>
      </c>
      <c r="AE48">
        <v>0</v>
      </c>
    </row>
    <row r="49" spans="7:31" x14ac:dyDescent="0.3">
      <c r="G49" s="4" t="s">
        <v>74</v>
      </c>
      <c r="H49">
        <v>5</v>
      </c>
      <c r="I49">
        <v>2</v>
      </c>
      <c r="K49" s="4" t="s">
        <v>145</v>
      </c>
      <c r="L49">
        <v>3</v>
      </c>
      <c r="N49" s="4" t="s">
        <v>74</v>
      </c>
      <c r="O49">
        <v>84</v>
      </c>
      <c r="Q49" s="4" t="s">
        <v>74</v>
      </c>
      <c r="R49">
        <v>816883</v>
      </c>
      <c r="AB49">
        <v>0</v>
      </c>
      <c r="AC49">
        <v>0</v>
      </c>
      <c r="AD49">
        <v>0</v>
      </c>
      <c r="AE49">
        <v>0</v>
      </c>
    </row>
    <row r="50" spans="7:31" x14ac:dyDescent="0.3">
      <c r="G50" s="4" t="s">
        <v>75</v>
      </c>
      <c r="H50">
        <v>4</v>
      </c>
      <c r="I50">
        <v>3</v>
      </c>
      <c r="K50" s="4" t="s">
        <v>124</v>
      </c>
      <c r="L50">
        <v>4</v>
      </c>
      <c r="N50" s="4" t="s">
        <v>75</v>
      </c>
      <c r="O50">
        <v>0</v>
      </c>
      <c r="Q50" s="4" t="s">
        <v>75</v>
      </c>
      <c r="R50">
        <v>5000001</v>
      </c>
      <c r="AB50">
        <v>0</v>
      </c>
      <c r="AC50">
        <v>0</v>
      </c>
      <c r="AD50">
        <v>0</v>
      </c>
      <c r="AE50">
        <v>0</v>
      </c>
    </row>
    <row r="51" spans="7:31" x14ac:dyDescent="0.3">
      <c r="G51" s="4" t="s">
        <v>77</v>
      </c>
      <c r="H51">
        <v>4</v>
      </c>
      <c r="I51">
        <v>2</v>
      </c>
      <c r="K51" s="4" t="s">
        <v>100</v>
      </c>
      <c r="L51">
        <v>5</v>
      </c>
      <c r="N51" s="4" t="s">
        <v>77</v>
      </c>
      <c r="O51">
        <v>67</v>
      </c>
      <c r="Q51" s="4" t="s">
        <v>77</v>
      </c>
      <c r="R51">
        <v>576223</v>
      </c>
      <c r="AB51">
        <v>0</v>
      </c>
      <c r="AC51">
        <v>0</v>
      </c>
      <c r="AD51">
        <v>0</v>
      </c>
      <c r="AE51">
        <v>0</v>
      </c>
    </row>
    <row r="52" spans="7:31" x14ac:dyDescent="0.3">
      <c r="G52" s="4" t="s">
        <v>78</v>
      </c>
      <c r="H52">
        <v>4</v>
      </c>
      <c r="I52">
        <v>2</v>
      </c>
      <c r="K52" s="4" t="s">
        <v>751</v>
      </c>
      <c r="L52">
        <v>1</v>
      </c>
      <c r="N52" s="4" t="s">
        <v>78</v>
      </c>
      <c r="O52">
        <v>6</v>
      </c>
      <c r="Q52" s="4" t="s">
        <v>78</v>
      </c>
      <c r="R52">
        <v>1186403</v>
      </c>
      <c r="AB52">
        <v>0</v>
      </c>
      <c r="AC52">
        <v>0</v>
      </c>
      <c r="AD52">
        <v>0</v>
      </c>
      <c r="AE52">
        <v>0</v>
      </c>
    </row>
    <row r="53" spans="7:31" x14ac:dyDescent="0.3">
      <c r="G53" s="4" t="s">
        <v>79</v>
      </c>
      <c r="H53">
        <v>6</v>
      </c>
      <c r="I53">
        <v>2</v>
      </c>
      <c r="K53" s="4" t="s">
        <v>150</v>
      </c>
      <c r="L53">
        <v>1</v>
      </c>
      <c r="N53" s="4" t="s">
        <v>79</v>
      </c>
      <c r="O53">
        <v>195</v>
      </c>
      <c r="Q53" s="4" t="s">
        <v>79</v>
      </c>
      <c r="R53">
        <v>789920</v>
      </c>
      <c r="AB53">
        <v>0</v>
      </c>
      <c r="AC53">
        <v>0</v>
      </c>
      <c r="AD53">
        <v>0</v>
      </c>
      <c r="AE53">
        <v>0</v>
      </c>
    </row>
    <row r="54" spans="7:31" x14ac:dyDescent="0.3">
      <c r="G54" s="4" t="s">
        <v>80</v>
      </c>
      <c r="H54">
        <v>5</v>
      </c>
      <c r="I54">
        <v>3</v>
      </c>
      <c r="K54" s="4" t="s">
        <v>90</v>
      </c>
      <c r="L54">
        <v>6</v>
      </c>
      <c r="N54" s="4" t="s">
        <v>80</v>
      </c>
      <c r="O54">
        <v>15</v>
      </c>
      <c r="Q54" s="4" t="s">
        <v>80</v>
      </c>
      <c r="R54">
        <v>1678478</v>
      </c>
      <c r="AB54">
        <v>0</v>
      </c>
      <c r="AC54">
        <v>0</v>
      </c>
      <c r="AD54">
        <v>0</v>
      </c>
      <c r="AE54">
        <v>0</v>
      </c>
    </row>
    <row r="55" spans="7:31" x14ac:dyDescent="0.3">
      <c r="G55" s="4" t="s">
        <v>82</v>
      </c>
      <c r="H55">
        <v>4</v>
      </c>
      <c r="I55">
        <v>2</v>
      </c>
      <c r="K55" s="4" t="s">
        <v>469</v>
      </c>
      <c r="L55">
        <v>1</v>
      </c>
      <c r="N55" s="4" t="s">
        <v>82</v>
      </c>
      <c r="O55">
        <v>3</v>
      </c>
      <c r="Q55" s="4" t="s">
        <v>82</v>
      </c>
      <c r="R55">
        <v>1217917</v>
      </c>
      <c r="AB55">
        <v>0</v>
      </c>
      <c r="AC55">
        <v>0</v>
      </c>
      <c r="AD55">
        <v>0</v>
      </c>
      <c r="AE55">
        <v>0</v>
      </c>
    </row>
    <row r="56" spans="7:31" x14ac:dyDescent="0.3">
      <c r="G56" s="4" t="s">
        <v>83</v>
      </c>
      <c r="H56">
        <v>6</v>
      </c>
      <c r="I56">
        <v>2</v>
      </c>
      <c r="K56" s="4" t="s">
        <v>69</v>
      </c>
      <c r="L56">
        <v>5</v>
      </c>
      <c r="N56" s="4" t="s">
        <v>83</v>
      </c>
      <c r="O56">
        <v>113</v>
      </c>
      <c r="Q56" s="4" t="s">
        <v>83</v>
      </c>
      <c r="R56">
        <v>1078126</v>
      </c>
      <c r="AB56">
        <v>0</v>
      </c>
      <c r="AC56">
        <v>0</v>
      </c>
      <c r="AD56">
        <v>0</v>
      </c>
      <c r="AE56">
        <v>0</v>
      </c>
    </row>
    <row r="57" spans="7:31" x14ac:dyDescent="0.3">
      <c r="G57" s="4" t="s">
        <v>84</v>
      </c>
      <c r="H57">
        <v>4</v>
      </c>
      <c r="I57">
        <v>2</v>
      </c>
      <c r="K57" s="4" t="s">
        <v>190</v>
      </c>
      <c r="L57">
        <v>1</v>
      </c>
      <c r="N57" s="4" t="s">
        <v>84</v>
      </c>
      <c r="O57">
        <v>0</v>
      </c>
      <c r="Q57" s="4" t="s">
        <v>84</v>
      </c>
      <c r="R57">
        <v>1417140</v>
      </c>
      <c r="AB57">
        <v>0</v>
      </c>
      <c r="AC57">
        <v>0</v>
      </c>
      <c r="AD57">
        <v>0</v>
      </c>
      <c r="AE57">
        <v>0</v>
      </c>
    </row>
    <row r="58" spans="7:31" x14ac:dyDescent="0.3">
      <c r="G58" s="4" t="s">
        <v>85</v>
      </c>
      <c r="H58">
        <v>6</v>
      </c>
      <c r="I58">
        <v>2</v>
      </c>
      <c r="K58" s="4" t="s">
        <v>98</v>
      </c>
      <c r="L58">
        <v>1</v>
      </c>
      <c r="N58" s="4" t="s">
        <v>85</v>
      </c>
      <c r="O58">
        <v>0</v>
      </c>
      <c r="Q58" s="4" t="s">
        <v>85</v>
      </c>
      <c r="R58">
        <v>774594</v>
      </c>
      <c r="AB58">
        <v>0</v>
      </c>
      <c r="AC58">
        <v>0</v>
      </c>
      <c r="AD58">
        <v>0</v>
      </c>
      <c r="AE58">
        <v>0</v>
      </c>
    </row>
    <row r="59" spans="7:31" x14ac:dyDescent="0.3">
      <c r="G59" s="4" t="s">
        <v>86</v>
      </c>
      <c r="H59">
        <v>3</v>
      </c>
      <c r="I59">
        <v>3</v>
      </c>
      <c r="K59" s="4" t="s">
        <v>657</v>
      </c>
      <c r="L59">
        <v>1</v>
      </c>
      <c r="N59" s="4" t="s">
        <v>86</v>
      </c>
      <c r="O59">
        <v>0</v>
      </c>
      <c r="Q59" s="4" t="s">
        <v>86</v>
      </c>
      <c r="R59">
        <v>5000001</v>
      </c>
      <c r="AB59">
        <v>0</v>
      </c>
      <c r="AC59">
        <v>0</v>
      </c>
      <c r="AD59">
        <v>0</v>
      </c>
      <c r="AE59">
        <v>0</v>
      </c>
    </row>
    <row r="60" spans="7:31" x14ac:dyDescent="0.3">
      <c r="G60" s="4" t="s">
        <v>88</v>
      </c>
      <c r="H60">
        <v>6</v>
      </c>
      <c r="I60">
        <v>2</v>
      </c>
      <c r="N60" s="4" t="s">
        <v>88</v>
      </c>
      <c r="O60">
        <v>153</v>
      </c>
      <c r="Q60" s="4" t="s">
        <v>88</v>
      </c>
      <c r="R60">
        <v>572846</v>
      </c>
      <c r="AB60">
        <v>0</v>
      </c>
      <c r="AC60">
        <v>0</v>
      </c>
      <c r="AD60">
        <v>0</v>
      </c>
      <c r="AE60">
        <v>0</v>
      </c>
    </row>
    <row r="61" spans="7:31" x14ac:dyDescent="0.3">
      <c r="G61" s="4" t="s">
        <v>89</v>
      </c>
      <c r="H61">
        <v>5</v>
      </c>
      <c r="I61">
        <v>1</v>
      </c>
      <c r="N61" s="4" t="s">
        <v>89</v>
      </c>
      <c r="O61">
        <v>8</v>
      </c>
      <c r="Q61" s="4" t="s">
        <v>89</v>
      </c>
      <c r="R61">
        <v>722402</v>
      </c>
      <c r="AB61">
        <v>0</v>
      </c>
      <c r="AC61">
        <v>0</v>
      </c>
      <c r="AD61">
        <v>0</v>
      </c>
      <c r="AE61">
        <v>0</v>
      </c>
    </row>
    <row r="62" spans="7:31" x14ac:dyDescent="0.3">
      <c r="G62" s="4" t="s">
        <v>91</v>
      </c>
      <c r="H62">
        <v>5</v>
      </c>
      <c r="I62">
        <v>0</v>
      </c>
      <c r="N62" s="4" t="s">
        <v>91</v>
      </c>
      <c r="O62">
        <v>31</v>
      </c>
      <c r="Q62" s="4" t="s">
        <v>91</v>
      </c>
      <c r="R62">
        <v>840702</v>
      </c>
      <c r="AB62">
        <v>0</v>
      </c>
      <c r="AC62">
        <v>0</v>
      </c>
      <c r="AD62">
        <v>0</v>
      </c>
      <c r="AE62">
        <v>0</v>
      </c>
    </row>
    <row r="63" spans="7:31" x14ac:dyDescent="0.3">
      <c r="G63" s="4" t="s">
        <v>92</v>
      </c>
      <c r="H63">
        <v>2</v>
      </c>
      <c r="I63">
        <v>2</v>
      </c>
      <c r="N63" s="4" t="s">
        <v>92</v>
      </c>
      <c r="O63">
        <v>96</v>
      </c>
      <c r="Q63" s="4" t="s">
        <v>92</v>
      </c>
      <c r="R63">
        <v>511734</v>
      </c>
      <c r="AB63">
        <v>0</v>
      </c>
      <c r="AC63">
        <v>0</v>
      </c>
      <c r="AD63">
        <v>0</v>
      </c>
      <c r="AE63">
        <v>0</v>
      </c>
    </row>
    <row r="64" spans="7:31" x14ac:dyDescent="0.3">
      <c r="G64" s="4" t="s">
        <v>93</v>
      </c>
      <c r="H64">
        <v>5</v>
      </c>
      <c r="I64">
        <v>1</v>
      </c>
      <c r="N64" s="4" t="s">
        <v>93</v>
      </c>
      <c r="O64">
        <v>0</v>
      </c>
      <c r="Q64" s="4" t="s">
        <v>93</v>
      </c>
      <c r="R64">
        <v>2881500</v>
      </c>
      <c r="AB64">
        <v>0</v>
      </c>
      <c r="AC64">
        <v>0</v>
      </c>
      <c r="AD64">
        <v>0</v>
      </c>
      <c r="AE64">
        <v>0</v>
      </c>
    </row>
    <row r="65" spans="7:31" x14ac:dyDescent="0.3">
      <c r="G65" s="4" t="s">
        <v>94</v>
      </c>
      <c r="H65">
        <v>4</v>
      </c>
      <c r="I65">
        <v>1</v>
      </c>
      <c r="N65" s="4" t="s">
        <v>94</v>
      </c>
      <c r="O65">
        <v>100</v>
      </c>
      <c r="Q65" s="4" t="s">
        <v>94</v>
      </c>
      <c r="R65">
        <v>5000001</v>
      </c>
      <c r="AB65">
        <v>0</v>
      </c>
      <c r="AC65">
        <v>0</v>
      </c>
      <c r="AD65">
        <v>0</v>
      </c>
      <c r="AE65">
        <v>0</v>
      </c>
    </row>
    <row r="66" spans="7:31" x14ac:dyDescent="0.3">
      <c r="G66" s="4" t="s">
        <v>95</v>
      </c>
      <c r="H66">
        <v>5</v>
      </c>
      <c r="I66">
        <v>1</v>
      </c>
      <c r="N66" s="4" t="s">
        <v>95</v>
      </c>
      <c r="O66">
        <v>9</v>
      </c>
      <c r="Q66" s="4" t="s">
        <v>95</v>
      </c>
      <c r="R66">
        <v>1207804</v>
      </c>
      <c r="AB66">
        <v>0</v>
      </c>
      <c r="AC66">
        <v>0</v>
      </c>
      <c r="AD66">
        <v>0</v>
      </c>
      <c r="AE66">
        <v>0</v>
      </c>
    </row>
    <row r="67" spans="7:31" x14ac:dyDescent="0.3">
      <c r="G67" s="4" t="s">
        <v>96</v>
      </c>
      <c r="H67">
        <v>5</v>
      </c>
      <c r="I67">
        <v>2</v>
      </c>
      <c r="N67" s="4" t="s">
        <v>96</v>
      </c>
      <c r="O67">
        <v>222</v>
      </c>
      <c r="Q67" s="4" t="s">
        <v>96</v>
      </c>
      <c r="R67">
        <v>683671</v>
      </c>
      <c r="AB67">
        <v>0</v>
      </c>
      <c r="AC67">
        <v>0</v>
      </c>
      <c r="AD67">
        <v>0</v>
      </c>
      <c r="AE67">
        <v>0</v>
      </c>
    </row>
    <row r="68" spans="7:31" x14ac:dyDescent="0.3">
      <c r="G68" s="4" t="s">
        <v>97</v>
      </c>
      <c r="H68">
        <v>6</v>
      </c>
      <c r="I68">
        <v>3</v>
      </c>
      <c r="N68" s="4" t="s">
        <v>97</v>
      </c>
      <c r="O68">
        <v>10</v>
      </c>
      <c r="Q68" s="4" t="s">
        <v>97</v>
      </c>
      <c r="R68">
        <v>1660776</v>
      </c>
      <c r="AB68">
        <v>0</v>
      </c>
      <c r="AC68">
        <v>0</v>
      </c>
      <c r="AD68">
        <v>0</v>
      </c>
      <c r="AE68">
        <v>0</v>
      </c>
    </row>
    <row r="69" spans="7:31" x14ac:dyDescent="0.3">
      <c r="G69" s="4" t="s">
        <v>99</v>
      </c>
      <c r="H69">
        <v>2</v>
      </c>
      <c r="I69">
        <v>3</v>
      </c>
      <c r="N69" s="4" t="s">
        <v>99</v>
      </c>
      <c r="O69">
        <v>35</v>
      </c>
      <c r="Q69" s="4" t="s">
        <v>99</v>
      </c>
      <c r="R69">
        <v>255203</v>
      </c>
      <c r="AB69">
        <v>0</v>
      </c>
      <c r="AC69">
        <v>0</v>
      </c>
      <c r="AD69">
        <v>0</v>
      </c>
      <c r="AE69">
        <v>0</v>
      </c>
    </row>
    <row r="70" spans="7:31" x14ac:dyDescent="0.3">
      <c r="G70" s="4" t="s">
        <v>101</v>
      </c>
      <c r="H70">
        <v>5</v>
      </c>
      <c r="I70">
        <v>2</v>
      </c>
      <c r="N70" s="4" t="s">
        <v>101</v>
      </c>
      <c r="O70">
        <v>21</v>
      </c>
      <c r="Q70" s="4" t="s">
        <v>101</v>
      </c>
      <c r="R70">
        <v>255172</v>
      </c>
      <c r="AB70">
        <v>0</v>
      </c>
      <c r="AC70">
        <v>0</v>
      </c>
      <c r="AD70">
        <v>0</v>
      </c>
      <c r="AE70">
        <v>0</v>
      </c>
    </row>
    <row r="71" spans="7:31" x14ac:dyDescent="0.3">
      <c r="G71" s="4" t="s">
        <v>102</v>
      </c>
      <c r="H71">
        <v>5</v>
      </c>
      <c r="I71">
        <v>4</v>
      </c>
      <c r="N71" s="4" t="s">
        <v>102</v>
      </c>
      <c r="O71">
        <v>360</v>
      </c>
      <c r="Q71" s="4" t="s">
        <v>102</v>
      </c>
      <c r="R71">
        <v>506237</v>
      </c>
      <c r="AB71">
        <v>0</v>
      </c>
      <c r="AC71">
        <v>0</v>
      </c>
      <c r="AD71">
        <v>0</v>
      </c>
      <c r="AE71">
        <v>0</v>
      </c>
    </row>
    <row r="72" spans="7:31" x14ac:dyDescent="0.3">
      <c r="G72" s="4" t="s">
        <v>104</v>
      </c>
      <c r="H72">
        <v>5</v>
      </c>
      <c r="I72">
        <v>1</v>
      </c>
      <c r="N72" s="4" t="s">
        <v>104</v>
      </c>
      <c r="O72">
        <v>348</v>
      </c>
      <c r="Q72" s="4" t="s">
        <v>104</v>
      </c>
      <c r="R72">
        <v>435881</v>
      </c>
      <c r="AB72">
        <v>0</v>
      </c>
      <c r="AC72">
        <v>0</v>
      </c>
      <c r="AD72">
        <v>0</v>
      </c>
      <c r="AE72">
        <v>0</v>
      </c>
    </row>
    <row r="73" spans="7:31" x14ac:dyDescent="0.3">
      <c r="G73" s="4" t="s">
        <v>105</v>
      </c>
      <c r="H73">
        <v>2</v>
      </c>
      <c r="I73">
        <v>2</v>
      </c>
      <c r="N73" s="4" t="s">
        <v>105</v>
      </c>
      <c r="O73">
        <v>0</v>
      </c>
      <c r="Q73" s="4" t="s">
        <v>105</v>
      </c>
      <c r="R73">
        <v>4298173</v>
      </c>
      <c r="AB73">
        <v>0</v>
      </c>
      <c r="AC73">
        <v>0</v>
      </c>
      <c r="AD73">
        <v>0</v>
      </c>
      <c r="AE73">
        <v>0</v>
      </c>
    </row>
    <row r="74" spans="7:31" x14ac:dyDescent="0.3">
      <c r="G74" s="4" t="s">
        <v>107</v>
      </c>
      <c r="H74">
        <v>4</v>
      </c>
      <c r="I74">
        <v>4</v>
      </c>
      <c r="N74" s="4" t="s">
        <v>107</v>
      </c>
      <c r="O74">
        <v>9</v>
      </c>
      <c r="Q74" s="4" t="s">
        <v>107</v>
      </c>
      <c r="R74">
        <v>2780649</v>
      </c>
      <c r="AB74">
        <v>0</v>
      </c>
      <c r="AC74">
        <v>0</v>
      </c>
      <c r="AD74">
        <v>0</v>
      </c>
      <c r="AE74">
        <v>0</v>
      </c>
    </row>
    <row r="75" spans="7:31" x14ac:dyDescent="0.3">
      <c r="G75" s="4" t="s">
        <v>109</v>
      </c>
      <c r="H75">
        <v>6</v>
      </c>
      <c r="I75">
        <v>1</v>
      </c>
      <c r="N75" s="4" t="s">
        <v>109</v>
      </c>
      <c r="O75">
        <v>938</v>
      </c>
      <c r="Q75" s="4" t="s">
        <v>109</v>
      </c>
      <c r="R75">
        <v>112533</v>
      </c>
      <c r="AB75">
        <v>0</v>
      </c>
      <c r="AC75">
        <v>0</v>
      </c>
      <c r="AD75">
        <v>0</v>
      </c>
      <c r="AE75">
        <v>0</v>
      </c>
    </row>
    <row r="76" spans="7:31" x14ac:dyDescent="0.3">
      <c r="G76" s="4" t="s">
        <v>110</v>
      </c>
      <c r="H76">
        <v>4</v>
      </c>
      <c r="I76">
        <v>2</v>
      </c>
      <c r="N76" s="4" t="s">
        <v>110</v>
      </c>
      <c r="O76">
        <v>15</v>
      </c>
      <c r="Q76" s="4" t="s">
        <v>110</v>
      </c>
      <c r="R76">
        <v>1298743</v>
      </c>
      <c r="AB76">
        <v>0</v>
      </c>
      <c r="AC76">
        <v>0</v>
      </c>
      <c r="AD76">
        <v>0</v>
      </c>
      <c r="AE76">
        <v>0</v>
      </c>
    </row>
    <row r="77" spans="7:31" x14ac:dyDescent="0.3">
      <c r="G77" s="4" t="s">
        <v>111</v>
      </c>
      <c r="H77">
        <v>5</v>
      </c>
      <c r="I77">
        <v>2</v>
      </c>
      <c r="N77" s="4" t="s">
        <v>111</v>
      </c>
      <c r="O77">
        <v>77</v>
      </c>
      <c r="Q77" s="4" t="s">
        <v>111</v>
      </c>
      <c r="R77">
        <v>834669</v>
      </c>
      <c r="AB77">
        <v>0</v>
      </c>
      <c r="AC77">
        <v>0</v>
      </c>
      <c r="AD77">
        <v>0</v>
      </c>
      <c r="AE77">
        <v>0</v>
      </c>
    </row>
    <row r="78" spans="7:31" x14ac:dyDescent="0.3">
      <c r="G78" s="4" t="s">
        <v>112</v>
      </c>
      <c r="H78">
        <v>5</v>
      </c>
      <c r="I78">
        <v>0</v>
      </c>
      <c r="N78" s="4" t="s">
        <v>112</v>
      </c>
      <c r="O78">
        <v>327</v>
      </c>
      <c r="Q78" s="4" t="s">
        <v>112</v>
      </c>
      <c r="R78">
        <v>2891740</v>
      </c>
      <c r="AB78">
        <v>0</v>
      </c>
      <c r="AC78">
        <v>0</v>
      </c>
      <c r="AD78">
        <v>0</v>
      </c>
      <c r="AE78">
        <v>0</v>
      </c>
    </row>
    <row r="79" spans="7:31" x14ac:dyDescent="0.3">
      <c r="G79" s="4" t="s">
        <v>113</v>
      </c>
      <c r="H79">
        <v>5</v>
      </c>
      <c r="I79">
        <v>1</v>
      </c>
      <c r="N79" s="4" t="s">
        <v>113</v>
      </c>
      <c r="O79">
        <v>0</v>
      </c>
      <c r="Q79" s="4" t="s">
        <v>113</v>
      </c>
      <c r="R79">
        <v>301341</v>
      </c>
      <c r="AB79">
        <v>0</v>
      </c>
      <c r="AC79">
        <v>0</v>
      </c>
      <c r="AD79">
        <v>0</v>
      </c>
      <c r="AE79">
        <v>0</v>
      </c>
    </row>
    <row r="80" spans="7:31" x14ac:dyDescent="0.3">
      <c r="G80" s="4" t="s">
        <v>114</v>
      </c>
      <c r="H80">
        <v>5</v>
      </c>
      <c r="I80">
        <v>2</v>
      </c>
      <c r="K80" s="3" t="s">
        <v>2</v>
      </c>
      <c r="L80" t="s">
        <v>767</v>
      </c>
      <c r="N80" s="4" t="s">
        <v>114</v>
      </c>
      <c r="O80">
        <v>70</v>
      </c>
      <c r="Q80" s="4" t="s">
        <v>114</v>
      </c>
      <c r="R80">
        <v>456997</v>
      </c>
      <c r="AB80">
        <v>0</v>
      </c>
      <c r="AC80">
        <v>0</v>
      </c>
      <c r="AD80">
        <v>0</v>
      </c>
      <c r="AE80">
        <v>0</v>
      </c>
    </row>
    <row r="81" spans="7:31" x14ac:dyDescent="0.3">
      <c r="G81" s="4" t="s">
        <v>115</v>
      </c>
      <c r="H81">
        <v>6</v>
      </c>
      <c r="I81">
        <v>3</v>
      </c>
      <c r="K81" t="s">
        <v>143</v>
      </c>
      <c r="L81">
        <v>115</v>
      </c>
      <c r="N81" s="4" t="s">
        <v>115</v>
      </c>
      <c r="O81">
        <v>404</v>
      </c>
      <c r="Q81" s="4" t="s">
        <v>115</v>
      </c>
      <c r="R81">
        <v>307116</v>
      </c>
      <c r="AB81">
        <v>0</v>
      </c>
      <c r="AC81">
        <v>0</v>
      </c>
      <c r="AD81">
        <v>0</v>
      </c>
      <c r="AE81">
        <v>0</v>
      </c>
    </row>
    <row r="82" spans="7:31" x14ac:dyDescent="0.3">
      <c r="G82" s="4" t="s">
        <v>117</v>
      </c>
      <c r="H82">
        <v>4</v>
      </c>
      <c r="I82">
        <v>3</v>
      </c>
      <c r="K82" t="s">
        <v>36</v>
      </c>
      <c r="L82">
        <v>262</v>
      </c>
      <c r="N82" s="4" t="s">
        <v>117</v>
      </c>
      <c r="O82">
        <v>137</v>
      </c>
      <c r="Q82" s="4" t="s">
        <v>117</v>
      </c>
      <c r="R82">
        <v>938128</v>
      </c>
      <c r="AB82">
        <v>0</v>
      </c>
      <c r="AC82">
        <v>0</v>
      </c>
      <c r="AD82">
        <v>0</v>
      </c>
      <c r="AE82">
        <v>0</v>
      </c>
    </row>
    <row r="83" spans="7:31" x14ac:dyDescent="0.3">
      <c r="G83" s="4" t="s">
        <v>119</v>
      </c>
      <c r="H83">
        <v>5</v>
      </c>
      <c r="I83">
        <v>3</v>
      </c>
      <c r="K83" t="s">
        <v>673</v>
      </c>
      <c r="L83">
        <v>61</v>
      </c>
      <c r="N83" s="4" t="s">
        <v>119</v>
      </c>
      <c r="O83">
        <v>394</v>
      </c>
      <c r="Q83" s="4" t="s">
        <v>119</v>
      </c>
      <c r="R83">
        <v>383742</v>
      </c>
      <c r="AB83">
        <v>0</v>
      </c>
      <c r="AC83">
        <v>0</v>
      </c>
      <c r="AD83">
        <v>0</v>
      </c>
      <c r="AE83">
        <v>0</v>
      </c>
    </row>
    <row r="84" spans="7:31" x14ac:dyDescent="0.3">
      <c r="G84" s="4" t="s">
        <v>121</v>
      </c>
      <c r="H84">
        <v>3</v>
      </c>
      <c r="I84">
        <v>2</v>
      </c>
      <c r="K84" t="s">
        <v>189</v>
      </c>
      <c r="L84">
        <v>62</v>
      </c>
      <c r="N84" s="4" t="s">
        <v>121</v>
      </c>
      <c r="O84">
        <v>0</v>
      </c>
      <c r="Q84" s="4" t="s">
        <v>121</v>
      </c>
      <c r="R84">
        <v>846262</v>
      </c>
      <c r="AB84">
        <v>0</v>
      </c>
      <c r="AC84">
        <v>0</v>
      </c>
      <c r="AD84">
        <v>0</v>
      </c>
      <c r="AE84">
        <v>0</v>
      </c>
    </row>
    <row r="85" spans="7:31" x14ac:dyDescent="0.3">
      <c r="G85" s="4" t="s">
        <v>122</v>
      </c>
      <c r="H85">
        <v>0</v>
      </c>
      <c r="I85">
        <v>0</v>
      </c>
      <c r="K85" t="s">
        <v>19</v>
      </c>
      <c r="L85">
        <v>93</v>
      </c>
      <c r="N85" s="4" t="s">
        <v>122</v>
      </c>
      <c r="O85">
        <v>2</v>
      </c>
      <c r="Q85" s="4" t="s">
        <v>122</v>
      </c>
      <c r="R85">
        <v>2624758</v>
      </c>
      <c r="AB85">
        <v>0</v>
      </c>
      <c r="AC85">
        <v>0</v>
      </c>
      <c r="AD85">
        <v>0</v>
      </c>
      <c r="AE85">
        <v>0</v>
      </c>
    </row>
    <row r="86" spans="7:31" x14ac:dyDescent="0.3">
      <c r="G86" s="4" t="s">
        <v>123</v>
      </c>
      <c r="H86">
        <v>6</v>
      </c>
      <c r="I86">
        <v>3</v>
      </c>
      <c r="K86" t="s">
        <v>133</v>
      </c>
      <c r="L86">
        <v>79</v>
      </c>
      <c r="N86" s="4" t="s">
        <v>123</v>
      </c>
      <c r="O86">
        <v>430</v>
      </c>
      <c r="Q86" s="4" t="s">
        <v>123</v>
      </c>
      <c r="R86">
        <v>459517</v>
      </c>
      <c r="AB86">
        <v>0</v>
      </c>
      <c r="AC86">
        <v>0</v>
      </c>
      <c r="AD86">
        <v>0</v>
      </c>
      <c r="AE86">
        <v>0</v>
      </c>
    </row>
    <row r="87" spans="7:31" x14ac:dyDescent="0.3">
      <c r="G87" s="4" t="s">
        <v>125</v>
      </c>
      <c r="H87">
        <v>4</v>
      </c>
      <c r="I87">
        <v>2</v>
      </c>
      <c r="K87" t="s">
        <v>773</v>
      </c>
      <c r="L87">
        <v>672</v>
      </c>
      <c r="N87" s="4" t="s">
        <v>125</v>
      </c>
      <c r="O87">
        <v>0</v>
      </c>
      <c r="Q87" s="4" t="s">
        <v>125</v>
      </c>
      <c r="R87">
        <v>3657810</v>
      </c>
      <c r="AB87">
        <v>0</v>
      </c>
      <c r="AC87">
        <v>0</v>
      </c>
      <c r="AD87">
        <v>0</v>
      </c>
      <c r="AE87">
        <v>0</v>
      </c>
    </row>
    <row r="88" spans="7:31" x14ac:dyDescent="0.3">
      <c r="G88" s="4" t="s">
        <v>126</v>
      </c>
      <c r="H88">
        <v>6</v>
      </c>
      <c r="I88">
        <v>1</v>
      </c>
      <c r="N88" s="4" t="s">
        <v>126</v>
      </c>
      <c r="O88">
        <v>11</v>
      </c>
      <c r="Q88" s="4" t="s">
        <v>126</v>
      </c>
      <c r="R88">
        <v>1367222</v>
      </c>
      <c r="AB88">
        <v>0</v>
      </c>
      <c r="AC88">
        <v>0</v>
      </c>
      <c r="AD88">
        <v>0</v>
      </c>
      <c r="AE88">
        <v>0</v>
      </c>
    </row>
    <row r="89" spans="7:31" x14ac:dyDescent="0.3">
      <c r="G89" s="4" t="s">
        <v>127</v>
      </c>
      <c r="H89">
        <v>6</v>
      </c>
      <c r="I89">
        <v>2</v>
      </c>
      <c r="N89" s="4" t="s">
        <v>127</v>
      </c>
      <c r="O89">
        <v>91</v>
      </c>
      <c r="Q89" s="4" t="s">
        <v>127</v>
      </c>
      <c r="R89">
        <v>1138564</v>
      </c>
      <c r="AB89">
        <v>0</v>
      </c>
      <c r="AC89">
        <v>0</v>
      </c>
      <c r="AD89">
        <v>0</v>
      </c>
      <c r="AE89">
        <v>0</v>
      </c>
    </row>
    <row r="90" spans="7:31" x14ac:dyDescent="0.3">
      <c r="G90" s="4" t="s">
        <v>128</v>
      </c>
      <c r="H90">
        <v>5</v>
      </c>
      <c r="I90">
        <v>0</v>
      </c>
      <c r="N90" s="4" t="s">
        <v>128</v>
      </c>
      <c r="O90">
        <v>85</v>
      </c>
      <c r="Q90" s="4" t="s">
        <v>128</v>
      </c>
      <c r="R90">
        <v>636814</v>
      </c>
      <c r="AB90">
        <v>0</v>
      </c>
      <c r="AC90">
        <v>0</v>
      </c>
      <c r="AD90">
        <v>0</v>
      </c>
      <c r="AE90">
        <v>0</v>
      </c>
    </row>
    <row r="91" spans="7:31" x14ac:dyDescent="0.3">
      <c r="G91" s="4" t="s">
        <v>129</v>
      </c>
      <c r="H91">
        <v>4</v>
      </c>
      <c r="I91">
        <v>3</v>
      </c>
      <c r="N91" s="4" t="s">
        <v>129</v>
      </c>
      <c r="O91">
        <v>157</v>
      </c>
      <c r="Q91" s="4" t="s">
        <v>129</v>
      </c>
      <c r="R91">
        <v>869326</v>
      </c>
      <c r="AB91">
        <v>0</v>
      </c>
      <c r="AC91">
        <v>0</v>
      </c>
      <c r="AD91">
        <v>0</v>
      </c>
      <c r="AE91">
        <v>0</v>
      </c>
    </row>
    <row r="92" spans="7:31" x14ac:dyDescent="0.3">
      <c r="G92" s="4" t="s">
        <v>130</v>
      </c>
      <c r="H92">
        <v>6</v>
      </c>
      <c r="I92">
        <v>4</v>
      </c>
      <c r="N92" s="4" t="s">
        <v>130</v>
      </c>
      <c r="O92">
        <v>686</v>
      </c>
      <c r="Q92" s="4" t="s">
        <v>130</v>
      </c>
      <c r="R92">
        <v>177288</v>
      </c>
      <c r="AB92">
        <v>0</v>
      </c>
      <c r="AC92">
        <v>0</v>
      </c>
      <c r="AD92">
        <v>0</v>
      </c>
      <c r="AE92">
        <v>0</v>
      </c>
    </row>
    <row r="93" spans="7:31" x14ac:dyDescent="0.3">
      <c r="G93" s="4" t="s">
        <v>132</v>
      </c>
      <c r="H93">
        <v>5</v>
      </c>
      <c r="I93">
        <v>1</v>
      </c>
      <c r="N93" s="4" t="s">
        <v>132</v>
      </c>
      <c r="O93">
        <v>165</v>
      </c>
      <c r="Q93" s="4" t="s">
        <v>132</v>
      </c>
      <c r="R93">
        <v>1643001</v>
      </c>
      <c r="AB93">
        <v>0</v>
      </c>
      <c r="AC93">
        <v>0</v>
      </c>
      <c r="AD93">
        <v>0</v>
      </c>
      <c r="AE93">
        <v>0</v>
      </c>
    </row>
    <row r="94" spans="7:31" x14ac:dyDescent="0.3">
      <c r="G94" s="4" t="s">
        <v>134</v>
      </c>
      <c r="H94">
        <v>4</v>
      </c>
      <c r="I94">
        <v>1</v>
      </c>
      <c r="N94" s="4" t="s">
        <v>134</v>
      </c>
      <c r="O94">
        <v>0</v>
      </c>
      <c r="Q94" s="4" t="s">
        <v>134</v>
      </c>
      <c r="R94">
        <v>3305800</v>
      </c>
      <c r="AB94">
        <v>0</v>
      </c>
      <c r="AC94">
        <v>0</v>
      </c>
      <c r="AD94">
        <v>0</v>
      </c>
      <c r="AE94">
        <v>0</v>
      </c>
    </row>
    <row r="95" spans="7:31" x14ac:dyDescent="0.3">
      <c r="G95" s="4" t="s">
        <v>135</v>
      </c>
      <c r="H95">
        <v>4</v>
      </c>
      <c r="I95">
        <v>1</v>
      </c>
      <c r="N95" s="4" t="s">
        <v>135</v>
      </c>
      <c r="O95">
        <v>78</v>
      </c>
      <c r="Q95" s="4" t="s">
        <v>135</v>
      </c>
      <c r="R95">
        <v>456996</v>
      </c>
      <c r="AB95">
        <v>0</v>
      </c>
      <c r="AC95">
        <v>0</v>
      </c>
      <c r="AD95">
        <v>0</v>
      </c>
      <c r="AE95">
        <v>0</v>
      </c>
    </row>
    <row r="96" spans="7:31" x14ac:dyDescent="0.3">
      <c r="G96" s="4" t="s">
        <v>136</v>
      </c>
      <c r="H96">
        <v>5</v>
      </c>
      <c r="I96">
        <v>1</v>
      </c>
      <c r="N96" s="4" t="s">
        <v>136</v>
      </c>
      <c r="O96">
        <v>0</v>
      </c>
      <c r="Q96" s="4" t="s">
        <v>136</v>
      </c>
      <c r="R96">
        <v>4648225</v>
      </c>
      <c r="AB96">
        <v>0</v>
      </c>
      <c r="AC96">
        <v>0</v>
      </c>
      <c r="AD96">
        <v>0</v>
      </c>
      <c r="AE96">
        <v>0</v>
      </c>
    </row>
    <row r="97" spans="7:31" x14ac:dyDescent="0.3">
      <c r="G97" s="4" t="s">
        <v>137</v>
      </c>
      <c r="H97">
        <v>6</v>
      </c>
      <c r="I97">
        <v>2</v>
      </c>
      <c r="N97" s="4" t="s">
        <v>137</v>
      </c>
      <c r="O97">
        <v>245</v>
      </c>
      <c r="Q97" s="4" t="s">
        <v>137</v>
      </c>
      <c r="R97">
        <v>341426</v>
      </c>
      <c r="AB97">
        <v>0</v>
      </c>
      <c r="AC97">
        <v>0</v>
      </c>
      <c r="AD97">
        <v>0</v>
      </c>
      <c r="AE97">
        <v>0</v>
      </c>
    </row>
    <row r="98" spans="7:31" x14ac:dyDescent="0.3">
      <c r="G98" s="4" t="s">
        <v>138</v>
      </c>
      <c r="H98">
        <v>3</v>
      </c>
      <c r="I98">
        <v>1</v>
      </c>
      <c r="N98" s="4" t="s">
        <v>138</v>
      </c>
      <c r="O98">
        <v>0</v>
      </c>
      <c r="Q98" s="4" t="s">
        <v>138</v>
      </c>
      <c r="R98">
        <v>5000001</v>
      </c>
      <c r="AB98">
        <v>0</v>
      </c>
      <c r="AC98">
        <v>0</v>
      </c>
      <c r="AD98">
        <v>0</v>
      </c>
      <c r="AE98">
        <v>0</v>
      </c>
    </row>
    <row r="99" spans="7:31" x14ac:dyDescent="0.3">
      <c r="G99" s="4" t="s">
        <v>139</v>
      </c>
      <c r="H99">
        <v>3</v>
      </c>
      <c r="I99">
        <v>2</v>
      </c>
      <c r="N99" s="4" t="s">
        <v>139</v>
      </c>
      <c r="O99">
        <v>81</v>
      </c>
      <c r="Q99" s="4" t="s">
        <v>139</v>
      </c>
      <c r="R99">
        <v>704638</v>
      </c>
      <c r="AB99">
        <v>0</v>
      </c>
      <c r="AC99">
        <v>0</v>
      </c>
      <c r="AD99">
        <v>0</v>
      </c>
      <c r="AE99">
        <v>0</v>
      </c>
    </row>
    <row r="100" spans="7:31" x14ac:dyDescent="0.3">
      <c r="G100" s="4" t="s">
        <v>141</v>
      </c>
      <c r="H100">
        <v>5</v>
      </c>
      <c r="I100">
        <v>1</v>
      </c>
      <c r="N100" s="4" t="s">
        <v>141</v>
      </c>
      <c r="O100">
        <v>23</v>
      </c>
      <c r="Q100" s="4" t="s">
        <v>141</v>
      </c>
      <c r="R100">
        <v>299954</v>
      </c>
      <c r="AB100">
        <v>0</v>
      </c>
      <c r="AC100">
        <v>0</v>
      </c>
      <c r="AD100">
        <v>0</v>
      </c>
      <c r="AE100">
        <v>0</v>
      </c>
    </row>
    <row r="101" spans="7:31" x14ac:dyDescent="0.3">
      <c r="G101" s="4" t="s">
        <v>142</v>
      </c>
      <c r="H101">
        <v>4</v>
      </c>
      <c r="I101">
        <v>2</v>
      </c>
      <c r="N101" s="4" t="s">
        <v>142</v>
      </c>
      <c r="O101">
        <v>186</v>
      </c>
      <c r="Q101" s="4" t="s">
        <v>142</v>
      </c>
      <c r="R101">
        <v>905941</v>
      </c>
      <c r="AB101">
        <v>0</v>
      </c>
      <c r="AC101">
        <v>0</v>
      </c>
      <c r="AD101">
        <v>0</v>
      </c>
      <c r="AE101">
        <v>0</v>
      </c>
    </row>
    <row r="102" spans="7:31" x14ac:dyDescent="0.3">
      <c r="G102" s="4" t="s">
        <v>144</v>
      </c>
      <c r="H102">
        <v>3</v>
      </c>
      <c r="I102">
        <v>3</v>
      </c>
      <c r="N102" s="4" t="s">
        <v>144</v>
      </c>
      <c r="O102">
        <v>0</v>
      </c>
      <c r="Q102" s="4" t="s">
        <v>144</v>
      </c>
      <c r="R102">
        <v>3065960</v>
      </c>
      <c r="AB102">
        <v>0</v>
      </c>
      <c r="AC102">
        <v>0</v>
      </c>
      <c r="AD102">
        <v>0</v>
      </c>
      <c r="AE102">
        <v>0</v>
      </c>
    </row>
    <row r="103" spans="7:31" x14ac:dyDescent="0.3">
      <c r="G103" s="4" t="s">
        <v>146</v>
      </c>
      <c r="H103">
        <v>2</v>
      </c>
      <c r="I103">
        <v>0</v>
      </c>
      <c r="N103" s="4" t="s">
        <v>146</v>
      </c>
      <c r="O103">
        <v>10</v>
      </c>
      <c r="Q103" s="4" t="s">
        <v>146</v>
      </c>
      <c r="R103">
        <v>5000001</v>
      </c>
      <c r="AB103">
        <v>0</v>
      </c>
      <c r="AC103">
        <v>0</v>
      </c>
      <c r="AD103">
        <v>0</v>
      </c>
      <c r="AE103">
        <v>0</v>
      </c>
    </row>
    <row r="104" spans="7:31" x14ac:dyDescent="0.3">
      <c r="G104" s="4" t="s">
        <v>147</v>
      </c>
      <c r="H104">
        <v>4</v>
      </c>
      <c r="I104">
        <v>0</v>
      </c>
      <c r="N104" s="4" t="s">
        <v>147</v>
      </c>
      <c r="O104">
        <v>1</v>
      </c>
      <c r="Q104" s="4" t="s">
        <v>147</v>
      </c>
      <c r="R104">
        <v>5000001</v>
      </c>
      <c r="AB104">
        <v>0</v>
      </c>
      <c r="AC104">
        <v>0</v>
      </c>
      <c r="AD104">
        <v>0</v>
      </c>
      <c r="AE104">
        <v>0</v>
      </c>
    </row>
    <row r="105" spans="7:31" x14ac:dyDescent="0.3">
      <c r="G105" s="4" t="s">
        <v>148</v>
      </c>
      <c r="H105">
        <v>1</v>
      </c>
      <c r="I105">
        <v>1</v>
      </c>
      <c r="N105" s="4" t="s">
        <v>148</v>
      </c>
      <c r="O105">
        <v>0</v>
      </c>
      <c r="Q105" s="4" t="s">
        <v>148</v>
      </c>
      <c r="R105">
        <v>5000001</v>
      </c>
      <c r="AB105">
        <v>0</v>
      </c>
      <c r="AC105">
        <v>0</v>
      </c>
      <c r="AD105">
        <v>0</v>
      </c>
      <c r="AE105">
        <v>0</v>
      </c>
    </row>
    <row r="106" spans="7:31" x14ac:dyDescent="0.3">
      <c r="G106" s="4" t="s">
        <v>149</v>
      </c>
      <c r="H106">
        <v>6</v>
      </c>
      <c r="I106">
        <v>4</v>
      </c>
      <c r="N106" s="4" t="s">
        <v>149</v>
      </c>
      <c r="O106">
        <v>321</v>
      </c>
      <c r="Q106" s="4" t="s">
        <v>149</v>
      </c>
      <c r="R106">
        <v>376441</v>
      </c>
      <c r="AB106">
        <v>0</v>
      </c>
      <c r="AC106">
        <v>0</v>
      </c>
      <c r="AD106">
        <v>0</v>
      </c>
      <c r="AE106">
        <v>0</v>
      </c>
    </row>
    <row r="107" spans="7:31" x14ac:dyDescent="0.3">
      <c r="G107" s="4" t="s">
        <v>151</v>
      </c>
      <c r="H107">
        <v>4</v>
      </c>
      <c r="I107">
        <v>1</v>
      </c>
      <c r="N107" s="4" t="s">
        <v>151</v>
      </c>
      <c r="O107">
        <v>20</v>
      </c>
      <c r="Q107" s="4" t="s">
        <v>151</v>
      </c>
      <c r="R107">
        <v>4466436</v>
      </c>
      <c r="AB107">
        <v>0</v>
      </c>
      <c r="AC107">
        <v>0</v>
      </c>
      <c r="AD107">
        <v>0</v>
      </c>
      <c r="AE107">
        <v>0</v>
      </c>
    </row>
    <row r="108" spans="7:31" x14ac:dyDescent="0.3">
      <c r="G108" s="4" t="s">
        <v>152</v>
      </c>
      <c r="H108">
        <v>5</v>
      </c>
      <c r="I108">
        <v>2</v>
      </c>
      <c r="N108" s="4" t="s">
        <v>152</v>
      </c>
      <c r="O108">
        <v>5</v>
      </c>
      <c r="Q108" s="4" t="s">
        <v>152</v>
      </c>
      <c r="R108">
        <v>2537614</v>
      </c>
      <c r="AB108">
        <v>0</v>
      </c>
      <c r="AC108">
        <v>0</v>
      </c>
      <c r="AD108">
        <v>0</v>
      </c>
      <c r="AE108">
        <v>0</v>
      </c>
    </row>
    <row r="109" spans="7:31" x14ac:dyDescent="0.3">
      <c r="G109" s="4" t="s">
        <v>153</v>
      </c>
      <c r="H109">
        <v>6</v>
      </c>
      <c r="I109">
        <v>2</v>
      </c>
      <c r="N109" s="4" t="s">
        <v>153</v>
      </c>
      <c r="O109">
        <v>337</v>
      </c>
      <c r="Q109" s="4" t="s">
        <v>153</v>
      </c>
      <c r="R109">
        <v>636839</v>
      </c>
      <c r="AB109">
        <v>0</v>
      </c>
      <c r="AC109">
        <v>0</v>
      </c>
      <c r="AD109">
        <v>0</v>
      </c>
      <c r="AE109">
        <v>0</v>
      </c>
    </row>
    <row r="110" spans="7:31" x14ac:dyDescent="0.3">
      <c r="G110" s="4" t="s">
        <v>154</v>
      </c>
      <c r="H110">
        <v>5</v>
      </c>
      <c r="I110">
        <v>2</v>
      </c>
      <c r="N110" s="4" t="s">
        <v>154</v>
      </c>
      <c r="O110">
        <v>165</v>
      </c>
      <c r="Q110" s="4" t="s">
        <v>154</v>
      </c>
      <c r="R110">
        <v>704810</v>
      </c>
      <c r="AB110">
        <v>0</v>
      </c>
      <c r="AC110">
        <v>0</v>
      </c>
      <c r="AD110">
        <v>0</v>
      </c>
      <c r="AE110">
        <v>0</v>
      </c>
    </row>
    <row r="111" spans="7:31" x14ac:dyDescent="0.3">
      <c r="G111" s="4" t="s">
        <v>155</v>
      </c>
      <c r="H111">
        <v>5</v>
      </c>
      <c r="I111">
        <v>0</v>
      </c>
      <c r="N111" s="4" t="s">
        <v>155</v>
      </c>
      <c r="O111">
        <v>108</v>
      </c>
      <c r="Q111" s="4" t="s">
        <v>155</v>
      </c>
      <c r="R111">
        <v>1086458</v>
      </c>
      <c r="AB111">
        <v>0</v>
      </c>
      <c r="AC111">
        <v>0</v>
      </c>
      <c r="AD111">
        <v>0</v>
      </c>
      <c r="AE111">
        <v>0</v>
      </c>
    </row>
    <row r="112" spans="7:31" x14ac:dyDescent="0.3">
      <c r="G112" s="4" t="s">
        <v>156</v>
      </c>
      <c r="H112">
        <v>6</v>
      </c>
      <c r="I112">
        <v>0</v>
      </c>
      <c r="N112" s="4" t="s">
        <v>156</v>
      </c>
      <c r="O112">
        <v>510</v>
      </c>
      <c r="Q112" s="4" t="s">
        <v>156</v>
      </c>
      <c r="R112">
        <v>399330</v>
      </c>
      <c r="AB112">
        <v>0</v>
      </c>
      <c r="AC112">
        <v>0</v>
      </c>
      <c r="AD112">
        <v>0</v>
      </c>
      <c r="AE112">
        <v>0</v>
      </c>
    </row>
    <row r="113" spans="7:132" x14ac:dyDescent="0.3">
      <c r="G113" s="4" t="s">
        <v>157</v>
      </c>
      <c r="H113">
        <v>6</v>
      </c>
      <c r="I113">
        <v>2</v>
      </c>
      <c r="N113" s="4" t="s">
        <v>157</v>
      </c>
      <c r="O113">
        <v>513</v>
      </c>
      <c r="Q113" s="4" t="s">
        <v>157</v>
      </c>
      <c r="R113">
        <v>323746</v>
      </c>
      <c r="AB113">
        <v>0</v>
      </c>
      <c r="AC113">
        <v>0</v>
      </c>
      <c r="AD113">
        <v>0</v>
      </c>
      <c r="AE113">
        <v>0</v>
      </c>
    </row>
    <row r="114" spans="7:132" x14ac:dyDescent="0.3">
      <c r="G114" s="4" t="s">
        <v>158</v>
      </c>
      <c r="H114">
        <v>5</v>
      </c>
      <c r="I114">
        <v>2</v>
      </c>
      <c r="N114" s="4" t="s">
        <v>158</v>
      </c>
      <c r="O114">
        <v>325</v>
      </c>
      <c r="Q114" s="4" t="s">
        <v>158</v>
      </c>
      <c r="R114">
        <v>3145436</v>
      </c>
      <c r="AB114">
        <v>0</v>
      </c>
      <c r="AC114">
        <v>0</v>
      </c>
      <c r="AD114">
        <v>0</v>
      </c>
      <c r="AE114">
        <v>0</v>
      </c>
    </row>
    <row r="115" spans="7:132" x14ac:dyDescent="0.3">
      <c r="G115" s="4" t="s">
        <v>159</v>
      </c>
      <c r="H115">
        <v>6</v>
      </c>
      <c r="I115">
        <v>2</v>
      </c>
      <c r="N115" s="4" t="s">
        <v>159</v>
      </c>
      <c r="O115">
        <v>137</v>
      </c>
      <c r="Q115" s="4" t="s">
        <v>159</v>
      </c>
      <c r="R115">
        <v>328445</v>
      </c>
      <c r="AB115">
        <v>0</v>
      </c>
      <c r="AC115">
        <v>0</v>
      </c>
      <c r="AD115">
        <v>0</v>
      </c>
      <c r="AE115">
        <v>0</v>
      </c>
    </row>
    <row r="116" spans="7:132" x14ac:dyDescent="0.3">
      <c r="G116" s="4" t="s">
        <v>160</v>
      </c>
      <c r="H116">
        <v>4</v>
      </c>
      <c r="I116">
        <v>1</v>
      </c>
      <c r="N116" s="4" t="s">
        <v>160</v>
      </c>
      <c r="O116">
        <v>180</v>
      </c>
      <c r="Q116" s="4" t="s">
        <v>160</v>
      </c>
      <c r="R116">
        <v>409624</v>
      </c>
      <c r="AB116">
        <v>0</v>
      </c>
      <c r="AC116">
        <v>0</v>
      </c>
      <c r="AD116">
        <v>0</v>
      </c>
      <c r="AE116">
        <v>0</v>
      </c>
    </row>
    <row r="117" spans="7:132" x14ac:dyDescent="0.3">
      <c r="G117" s="4" t="s">
        <v>161</v>
      </c>
      <c r="H117">
        <v>5</v>
      </c>
      <c r="I117">
        <v>2</v>
      </c>
      <c r="N117" s="4" t="s">
        <v>161</v>
      </c>
      <c r="O117">
        <v>10</v>
      </c>
      <c r="Q117" s="4" t="s">
        <v>161</v>
      </c>
      <c r="R117">
        <v>1129902</v>
      </c>
      <c r="AB117">
        <v>0</v>
      </c>
      <c r="AC117">
        <v>0</v>
      </c>
      <c r="AD117">
        <v>0</v>
      </c>
      <c r="AE117">
        <v>0</v>
      </c>
    </row>
    <row r="118" spans="7:132" x14ac:dyDescent="0.3">
      <c r="G118" s="4" t="s">
        <v>162</v>
      </c>
      <c r="H118">
        <v>6</v>
      </c>
      <c r="I118">
        <v>1</v>
      </c>
      <c r="N118" s="4" t="s">
        <v>162</v>
      </c>
      <c r="O118">
        <v>651</v>
      </c>
      <c r="Q118" s="4" t="s">
        <v>162</v>
      </c>
      <c r="R118">
        <v>141833</v>
      </c>
      <c r="AB118">
        <v>0</v>
      </c>
      <c r="AC118">
        <v>0</v>
      </c>
      <c r="AD118">
        <v>0</v>
      </c>
      <c r="AE118">
        <v>0</v>
      </c>
    </row>
    <row r="119" spans="7:132" x14ac:dyDescent="0.3">
      <c r="G119" s="4" t="s">
        <v>163</v>
      </c>
      <c r="H119">
        <v>6</v>
      </c>
      <c r="I119">
        <v>3</v>
      </c>
      <c r="N119" s="4" t="s">
        <v>163</v>
      </c>
      <c r="O119">
        <v>56</v>
      </c>
      <c r="Q119" s="4" t="s">
        <v>163</v>
      </c>
      <c r="R119">
        <v>774675</v>
      </c>
      <c r="AB119">
        <v>0</v>
      </c>
      <c r="AC119">
        <v>0</v>
      </c>
      <c r="AD119">
        <v>0</v>
      </c>
      <c r="AE119">
        <v>0</v>
      </c>
    </row>
    <row r="120" spans="7:132" x14ac:dyDescent="0.3">
      <c r="G120" s="4" t="s">
        <v>164</v>
      </c>
      <c r="H120">
        <v>3</v>
      </c>
      <c r="I120">
        <v>2</v>
      </c>
      <c r="N120" s="4" t="s">
        <v>164</v>
      </c>
      <c r="O120">
        <v>204</v>
      </c>
      <c r="Q120" s="4" t="s">
        <v>164</v>
      </c>
      <c r="R120">
        <v>622401</v>
      </c>
      <c r="AB120">
        <v>0</v>
      </c>
      <c r="AC120">
        <v>0</v>
      </c>
      <c r="AD120">
        <v>0</v>
      </c>
      <c r="AE120">
        <v>0</v>
      </c>
    </row>
    <row r="121" spans="7:132" x14ac:dyDescent="0.3">
      <c r="G121" s="4" t="s">
        <v>165</v>
      </c>
      <c r="H121">
        <v>3</v>
      </c>
      <c r="I121">
        <v>0</v>
      </c>
      <c r="N121" s="4" t="s">
        <v>165</v>
      </c>
      <c r="O121">
        <v>0</v>
      </c>
      <c r="Q121" s="4" t="s">
        <v>165</v>
      </c>
      <c r="R121">
        <v>2776153</v>
      </c>
      <c r="AB121">
        <v>0</v>
      </c>
      <c r="AC121">
        <v>0</v>
      </c>
      <c r="AD121">
        <v>0</v>
      </c>
      <c r="AE121">
        <v>0</v>
      </c>
    </row>
    <row r="122" spans="7:132" x14ac:dyDescent="0.3">
      <c r="G122" s="4" t="s">
        <v>166</v>
      </c>
      <c r="H122">
        <v>5</v>
      </c>
      <c r="I122">
        <v>2</v>
      </c>
      <c r="N122" s="4" t="s">
        <v>166</v>
      </c>
      <c r="O122">
        <v>129</v>
      </c>
      <c r="Q122" s="4" t="s">
        <v>166</v>
      </c>
      <c r="R122">
        <v>629497</v>
      </c>
      <c r="AB122">
        <v>0</v>
      </c>
      <c r="AC122">
        <v>0</v>
      </c>
      <c r="AD122">
        <v>0</v>
      </c>
      <c r="AE122">
        <v>0</v>
      </c>
    </row>
    <row r="123" spans="7:132" x14ac:dyDescent="0.3">
      <c r="G123" s="4" t="s">
        <v>167</v>
      </c>
      <c r="H123">
        <v>4</v>
      </c>
      <c r="I123">
        <v>0</v>
      </c>
      <c r="N123" s="4" t="s">
        <v>167</v>
      </c>
      <c r="O123">
        <v>2</v>
      </c>
      <c r="Q123" s="4" t="s">
        <v>167</v>
      </c>
      <c r="R123">
        <v>5000001</v>
      </c>
      <c r="AB123">
        <v>0</v>
      </c>
      <c r="AC123">
        <v>0</v>
      </c>
      <c r="AD123">
        <v>0</v>
      </c>
      <c r="AE123">
        <v>0</v>
      </c>
    </row>
    <row r="124" spans="7:132" x14ac:dyDescent="0.3">
      <c r="G124" s="4" t="s">
        <v>168</v>
      </c>
      <c r="H124">
        <v>5</v>
      </c>
      <c r="I124">
        <v>3</v>
      </c>
      <c r="N124" s="4" t="s">
        <v>168</v>
      </c>
      <c r="O124">
        <v>135</v>
      </c>
      <c r="Q124" s="4" t="s">
        <v>168</v>
      </c>
      <c r="R124">
        <v>619048</v>
      </c>
      <c r="AB124">
        <v>0</v>
      </c>
      <c r="AC124">
        <v>0</v>
      </c>
      <c r="AD124">
        <v>0</v>
      </c>
      <c r="AE124">
        <v>0</v>
      </c>
    </row>
    <row r="125" spans="7:132" x14ac:dyDescent="0.3">
      <c r="G125" s="4" t="s">
        <v>169</v>
      </c>
      <c r="H125">
        <v>2</v>
      </c>
      <c r="I125">
        <v>0</v>
      </c>
      <c r="N125" s="4" t="s">
        <v>169</v>
      </c>
      <c r="O125">
        <v>0</v>
      </c>
      <c r="Q125" s="4" t="s">
        <v>169</v>
      </c>
      <c r="R125">
        <v>5000001</v>
      </c>
      <c r="AB125">
        <v>0</v>
      </c>
      <c r="AC125">
        <v>0</v>
      </c>
      <c r="AD125">
        <v>0</v>
      </c>
      <c r="AE125">
        <v>0</v>
      </c>
    </row>
    <row r="126" spans="7:132" x14ac:dyDescent="0.3">
      <c r="G126" s="4" t="s">
        <v>170</v>
      </c>
      <c r="H126">
        <v>4</v>
      </c>
      <c r="I126">
        <v>2</v>
      </c>
      <c r="N126" s="4" t="s">
        <v>170</v>
      </c>
      <c r="O126">
        <v>95</v>
      </c>
      <c r="Q126" s="4" t="s">
        <v>170</v>
      </c>
      <c r="R126">
        <v>655628</v>
      </c>
      <c r="AB126">
        <v>0</v>
      </c>
      <c r="AC126">
        <v>0</v>
      </c>
      <c r="AD126">
        <v>0</v>
      </c>
      <c r="AE126">
        <v>0</v>
      </c>
    </row>
    <row r="127" spans="7:132" x14ac:dyDescent="0.3">
      <c r="G127" s="4" t="s">
        <v>171</v>
      </c>
      <c r="H127">
        <v>2</v>
      </c>
      <c r="I127">
        <v>0</v>
      </c>
      <c r="N127" s="4" t="s">
        <v>171</v>
      </c>
      <c r="O127">
        <v>40</v>
      </c>
      <c r="Q127" s="4" t="s">
        <v>171</v>
      </c>
      <c r="R127">
        <v>3772103</v>
      </c>
      <c r="AB127">
        <v>0</v>
      </c>
      <c r="AC127">
        <v>0</v>
      </c>
      <c r="AD127">
        <v>0</v>
      </c>
      <c r="AE127">
        <v>0</v>
      </c>
    </row>
    <row r="128" spans="7:132" x14ac:dyDescent="0.3">
      <c r="G128" s="4" t="s">
        <v>172</v>
      </c>
      <c r="H128">
        <v>5</v>
      </c>
      <c r="I128">
        <v>2</v>
      </c>
      <c r="N128" s="4" t="s">
        <v>172</v>
      </c>
      <c r="O128">
        <v>126</v>
      </c>
      <c r="Q128" s="4" t="s">
        <v>172</v>
      </c>
      <c r="R128">
        <v>1545783</v>
      </c>
      <c r="AB128">
        <v>0</v>
      </c>
      <c r="AC128">
        <v>0</v>
      </c>
      <c r="AD128">
        <v>0</v>
      </c>
      <c r="AE128">
        <v>0</v>
      </c>
      <c r="CX128" s="3" t="s">
        <v>1</v>
      </c>
      <c r="CY128" t="s">
        <v>785</v>
      </c>
      <c r="EA128" s="3" t="s">
        <v>761</v>
      </c>
      <c r="EB128" t="s">
        <v>763</v>
      </c>
    </row>
    <row r="129" spans="7:132" x14ac:dyDescent="0.3">
      <c r="G129" s="4" t="s">
        <v>173</v>
      </c>
      <c r="H129">
        <v>5</v>
      </c>
      <c r="I129">
        <v>2</v>
      </c>
      <c r="N129" s="4" t="s">
        <v>173</v>
      </c>
      <c r="O129">
        <v>13</v>
      </c>
      <c r="Q129" s="4" t="s">
        <v>173</v>
      </c>
      <c r="R129">
        <v>1227258</v>
      </c>
      <c r="AB129">
        <v>0</v>
      </c>
      <c r="AC129">
        <v>0</v>
      </c>
      <c r="AD129">
        <v>0</v>
      </c>
      <c r="AE129">
        <v>0</v>
      </c>
      <c r="EA129" s="4" t="s">
        <v>143</v>
      </c>
      <c r="EB129">
        <v>110</v>
      </c>
    </row>
    <row r="130" spans="7:132" x14ac:dyDescent="0.3">
      <c r="G130" s="4" t="s">
        <v>174</v>
      </c>
      <c r="H130">
        <v>1</v>
      </c>
      <c r="I130">
        <v>0</v>
      </c>
      <c r="N130" s="4" t="s">
        <v>174</v>
      </c>
      <c r="O130">
        <v>0</v>
      </c>
      <c r="Q130" s="4" t="s">
        <v>174</v>
      </c>
      <c r="R130">
        <v>3152027</v>
      </c>
      <c r="AB130">
        <v>0</v>
      </c>
      <c r="AC130">
        <v>0</v>
      </c>
      <c r="AD130">
        <v>0</v>
      </c>
      <c r="AE130">
        <v>0</v>
      </c>
      <c r="CX130" t="s">
        <v>760</v>
      </c>
      <c r="CY130" t="s">
        <v>759</v>
      </c>
      <c r="CZ130" t="s">
        <v>758</v>
      </c>
      <c r="EA130" s="4" t="s">
        <v>36</v>
      </c>
      <c r="EB130">
        <v>337</v>
      </c>
    </row>
    <row r="131" spans="7:132" x14ac:dyDescent="0.3">
      <c r="G131" s="4" t="s">
        <v>175</v>
      </c>
      <c r="H131">
        <v>3</v>
      </c>
      <c r="I131">
        <v>2</v>
      </c>
      <c r="N131" s="4" t="s">
        <v>175</v>
      </c>
      <c r="O131">
        <v>415</v>
      </c>
      <c r="Q131" s="4" t="s">
        <v>175</v>
      </c>
      <c r="R131">
        <v>454568</v>
      </c>
      <c r="AB131">
        <v>0</v>
      </c>
      <c r="AC131">
        <v>0</v>
      </c>
      <c r="AD131">
        <v>0</v>
      </c>
      <c r="AE131">
        <v>0</v>
      </c>
      <c r="CX131">
        <v>131570</v>
      </c>
      <c r="CY131">
        <v>18616</v>
      </c>
      <c r="CZ131">
        <v>42380</v>
      </c>
      <c r="EA131" s="4" t="s">
        <v>673</v>
      </c>
      <c r="EB131">
        <v>24</v>
      </c>
    </row>
    <row r="132" spans="7:132" x14ac:dyDescent="0.3">
      <c r="G132" s="4" t="s">
        <v>176</v>
      </c>
      <c r="H132">
        <v>4</v>
      </c>
      <c r="I132">
        <v>3</v>
      </c>
      <c r="N132" s="4" t="s">
        <v>176</v>
      </c>
      <c r="O132">
        <v>231</v>
      </c>
      <c r="Q132" s="4" t="s">
        <v>176</v>
      </c>
      <c r="R132">
        <v>389505</v>
      </c>
      <c r="AB132">
        <v>0</v>
      </c>
      <c r="AC132">
        <v>0</v>
      </c>
      <c r="AD132">
        <v>0</v>
      </c>
      <c r="AE132">
        <v>0</v>
      </c>
      <c r="EA132" s="4" t="s">
        <v>189</v>
      </c>
      <c r="EB132">
        <v>60</v>
      </c>
    </row>
    <row r="133" spans="7:132" x14ac:dyDescent="0.3">
      <c r="G133" s="4" t="s">
        <v>177</v>
      </c>
      <c r="H133">
        <v>4</v>
      </c>
      <c r="I133">
        <v>1</v>
      </c>
      <c r="N133" s="4" t="s">
        <v>177</v>
      </c>
      <c r="O133">
        <v>235</v>
      </c>
      <c r="Q133" s="4" t="s">
        <v>177</v>
      </c>
      <c r="R133">
        <v>1266678</v>
      </c>
      <c r="AB133">
        <v>0</v>
      </c>
      <c r="AC133">
        <v>0</v>
      </c>
      <c r="AD133">
        <v>0</v>
      </c>
      <c r="AE133">
        <v>0</v>
      </c>
      <c r="EA133" s="4" t="s">
        <v>19</v>
      </c>
      <c r="EB133">
        <v>84</v>
      </c>
    </row>
    <row r="134" spans="7:132" x14ac:dyDescent="0.3">
      <c r="G134" s="4" t="s">
        <v>178</v>
      </c>
      <c r="H134">
        <v>5</v>
      </c>
      <c r="I134">
        <v>2</v>
      </c>
      <c r="N134" s="4" t="s">
        <v>178</v>
      </c>
      <c r="O134">
        <v>8</v>
      </c>
      <c r="Q134" s="4" t="s">
        <v>178</v>
      </c>
      <c r="R134">
        <v>1299283</v>
      </c>
      <c r="AB134">
        <v>0</v>
      </c>
      <c r="AC134">
        <v>0</v>
      </c>
      <c r="AD134">
        <v>0</v>
      </c>
      <c r="AE134">
        <v>0</v>
      </c>
      <c r="EA134" s="4" t="s">
        <v>133</v>
      </c>
      <c r="EB134">
        <v>67</v>
      </c>
    </row>
    <row r="135" spans="7:132" x14ac:dyDescent="0.3">
      <c r="G135" s="4" t="s">
        <v>179</v>
      </c>
      <c r="H135">
        <v>2</v>
      </c>
      <c r="I135">
        <v>0</v>
      </c>
      <c r="N135" s="4" t="s">
        <v>179</v>
      </c>
      <c r="O135">
        <v>0</v>
      </c>
      <c r="Q135" s="4" t="s">
        <v>179</v>
      </c>
      <c r="R135">
        <v>5000001</v>
      </c>
      <c r="AB135">
        <v>0</v>
      </c>
      <c r="AC135">
        <v>0</v>
      </c>
      <c r="AD135">
        <v>0</v>
      </c>
      <c r="AE135">
        <v>0</v>
      </c>
      <c r="EA135" s="4" t="s">
        <v>773</v>
      </c>
      <c r="EB135">
        <v>682</v>
      </c>
    </row>
    <row r="136" spans="7:132" x14ac:dyDescent="0.3">
      <c r="G136" s="4" t="s">
        <v>180</v>
      </c>
      <c r="H136">
        <v>3</v>
      </c>
      <c r="I136">
        <v>2</v>
      </c>
      <c r="N136" s="4" t="s">
        <v>180</v>
      </c>
      <c r="O136">
        <v>154</v>
      </c>
      <c r="Q136" s="4" t="s">
        <v>180</v>
      </c>
      <c r="R136">
        <v>500760</v>
      </c>
      <c r="AB136">
        <v>0</v>
      </c>
      <c r="AC136">
        <v>0</v>
      </c>
      <c r="AD136">
        <v>0</v>
      </c>
      <c r="AE136">
        <v>0</v>
      </c>
    </row>
    <row r="137" spans="7:132" x14ac:dyDescent="0.3">
      <c r="G137" s="4" t="s">
        <v>181</v>
      </c>
      <c r="H137">
        <v>1</v>
      </c>
      <c r="I137">
        <v>0</v>
      </c>
      <c r="N137" s="4" t="s">
        <v>181</v>
      </c>
      <c r="O137">
        <v>0</v>
      </c>
      <c r="Q137" s="4" t="s">
        <v>181</v>
      </c>
      <c r="R137">
        <v>5000001</v>
      </c>
      <c r="AB137">
        <v>0</v>
      </c>
      <c r="AC137">
        <v>0</v>
      </c>
      <c r="AD137">
        <v>0</v>
      </c>
      <c r="AE137">
        <v>0</v>
      </c>
      <c r="BT137" s="6"/>
    </row>
    <row r="138" spans="7:132" x14ac:dyDescent="0.3">
      <c r="G138" s="4" t="s">
        <v>182</v>
      </c>
      <c r="H138">
        <v>5</v>
      </c>
      <c r="I138">
        <v>2</v>
      </c>
      <c r="N138" s="4" t="s">
        <v>182</v>
      </c>
      <c r="O138">
        <v>122</v>
      </c>
      <c r="Q138" s="4" t="s">
        <v>182</v>
      </c>
      <c r="R138">
        <v>651991</v>
      </c>
      <c r="AB138">
        <v>0</v>
      </c>
      <c r="AC138">
        <v>0</v>
      </c>
      <c r="AD138">
        <v>0</v>
      </c>
      <c r="AE138">
        <v>0</v>
      </c>
      <c r="BR138" s="3" t="s">
        <v>2</v>
      </c>
      <c r="BS138" t="s">
        <v>762</v>
      </c>
    </row>
    <row r="139" spans="7:132" x14ac:dyDescent="0.3">
      <c r="G139" s="4" t="s">
        <v>183</v>
      </c>
      <c r="H139">
        <v>5</v>
      </c>
      <c r="I139">
        <v>2</v>
      </c>
      <c r="N139" s="4" t="s">
        <v>183</v>
      </c>
      <c r="O139">
        <v>104</v>
      </c>
      <c r="Q139" s="4" t="s">
        <v>183</v>
      </c>
      <c r="R139">
        <v>500604</v>
      </c>
      <c r="AB139">
        <v>0</v>
      </c>
      <c r="AC139">
        <v>0</v>
      </c>
      <c r="AD139">
        <v>0</v>
      </c>
      <c r="AE139">
        <v>0</v>
      </c>
      <c r="BR139" t="s">
        <v>143</v>
      </c>
      <c r="BS139">
        <v>308</v>
      </c>
    </row>
    <row r="140" spans="7:132" x14ac:dyDescent="0.3">
      <c r="G140" s="4" t="s">
        <v>184</v>
      </c>
      <c r="H140">
        <v>2</v>
      </c>
      <c r="I140">
        <v>2</v>
      </c>
      <c r="N140" s="4" t="s">
        <v>184</v>
      </c>
      <c r="O140">
        <v>9</v>
      </c>
      <c r="Q140" s="4" t="s">
        <v>184</v>
      </c>
      <c r="R140">
        <v>2064568</v>
      </c>
      <c r="AB140">
        <v>0</v>
      </c>
      <c r="AC140">
        <v>0</v>
      </c>
      <c r="AD140">
        <v>0</v>
      </c>
      <c r="AE140">
        <v>0</v>
      </c>
      <c r="BR140" t="s">
        <v>36</v>
      </c>
      <c r="BS140">
        <v>757</v>
      </c>
      <c r="BT140" s="6"/>
    </row>
    <row r="141" spans="7:132" x14ac:dyDescent="0.3">
      <c r="G141" s="4" t="s">
        <v>185</v>
      </c>
      <c r="H141">
        <v>3</v>
      </c>
      <c r="I141">
        <v>1</v>
      </c>
      <c r="N141" s="4" t="s">
        <v>185</v>
      </c>
      <c r="O141">
        <v>112</v>
      </c>
      <c r="Q141" s="4" t="s">
        <v>185</v>
      </c>
      <c r="R141">
        <v>1392730</v>
      </c>
      <c r="AB141">
        <v>0</v>
      </c>
      <c r="AC141">
        <v>0</v>
      </c>
      <c r="AD141">
        <v>0</v>
      </c>
      <c r="AE141">
        <v>0</v>
      </c>
      <c r="BR141" t="s">
        <v>673</v>
      </c>
      <c r="BS141">
        <v>70</v>
      </c>
      <c r="CJ141" s="6"/>
    </row>
    <row r="142" spans="7:132" x14ac:dyDescent="0.3">
      <c r="G142" s="4" t="s">
        <v>186</v>
      </c>
      <c r="H142">
        <v>4</v>
      </c>
      <c r="I142">
        <v>0</v>
      </c>
      <c r="N142" s="4" t="s">
        <v>186</v>
      </c>
      <c r="O142">
        <v>0</v>
      </c>
      <c r="Q142" s="4" t="s">
        <v>186</v>
      </c>
      <c r="R142">
        <v>5000001</v>
      </c>
      <c r="AB142">
        <v>0</v>
      </c>
      <c r="AC142">
        <v>0</v>
      </c>
      <c r="AD142">
        <v>0</v>
      </c>
      <c r="AE142">
        <v>0</v>
      </c>
      <c r="BR142" t="s">
        <v>189</v>
      </c>
      <c r="BS142">
        <v>170</v>
      </c>
    </row>
    <row r="143" spans="7:132" x14ac:dyDescent="0.3">
      <c r="G143" s="4" t="s">
        <v>187</v>
      </c>
      <c r="H143">
        <v>5</v>
      </c>
      <c r="I143">
        <v>2</v>
      </c>
      <c r="N143" s="4" t="s">
        <v>187</v>
      </c>
      <c r="O143">
        <v>4</v>
      </c>
      <c r="Q143" s="4" t="s">
        <v>187</v>
      </c>
      <c r="R143">
        <v>1257047</v>
      </c>
      <c r="AB143">
        <v>0</v>
      </c>
      <c r="AC143">
        <v>0</v>
      </c>
      <c r="AD143">
        <v>0</v>
      </c>
      <c r="AE143">
        <v>0</v>
      </c>
      <c r="BR143" t="s">
        <v>19</v>
      </c>
      <c r="BS143">
        <v>237</v>
      </c>
    </row>
    <row r="144" spans="7:132" x14ac:dyDescent="0.3">
      <c r="G144" s="4" t="s">
        <v>188</v>
      </c>
      <c r="H144">
        <v>3</v>
      </c>
      <c r="I144">
        <v>3</v>
      </c>
      <c r="N144" s="4" t="s">
        <v>188</v>
      </c>
      <c r="O144">
        <v>0</v>
      </c>
      <c r="Q144" s="4" t="s">
        <v>188</v>
      </c>
      <c r="R144">
        <v>2500651</v>
      </c>
      <c r="AB144">
        <v>0</v>
      </c>
      <c r="AC144">
        <v>0</v>
      </c>
      <c r="AD144">
        <v>0</v>
      </c>
      <c r="AE144">
        <v>0</v>
      </c>
      <c r="BR144" t="s">
        <v>133</v>
      </c>
      <c r="BS144">
        <v>178</v>
      </c>
    </row>
    <row r="145" spans="7:71" x14ac:dyDescent="0.3">
      <c r="G145" s="4" t="s">
        <v>191</v>
      </c>
      <c r="H145">
        <v>4</v>
      </c>
      <c r="I145">
        <v>0</v>
      </c>
      <c r="N145" s="4" t="s">
        <v>191</v>
      </c>
      <c r="O145">
        <v>4</v>
      </c>
      <c r="Q145" s="4" t="s">
        <v>191</v>
      </c>
      <c r="R145">
        <v>5000001</v>
      </c>
      <c r="AB145">
        <v>0</v>
      </c>
      <c r="AC145">
        <v>0</v>
      </c>
      <c r="AD145">
        <v>0</v>
      </c>
      <c r="AE145">
        <v>0</v>
      </c>
      <c r="BR145" t="s">
        <v>773</v>
      </c>
      <c r="BS145">
        <v>1720</v>
      </c>
    </row>
    <row r="146" spans="7:71" x14ac:dyDescent="0.3">
      <c r="G146" s="4" t="s">
        <v>192</v>
      </c>
      <c r="H146">
        <v>2</v>
      </c>
      <c r="I146">
        <v>2</v>
      </c>
      <c r="N146" s="4" t="s">
        <v>192</v>
      </c>
      <c r="O146">
        <v>11</v>
      </c>
      <c r="Q146" s="4" t="s">
        <v>192</v>
      </c>
      <c r="R146">
        <v>1502899</v>
      </c>
      <c r="AB146">
        <v>0</v>
      </c>
      <c r="AC146">
        <v>0</v>
      </c>
      <c r="AD146">
        <v>0</v>
      </c>
      <c r="AE146">
        <v>0</v>
      </c>
    </row>
    <row r="147" spans="7:71" x14ac:dyDescent="0.3">
      <c r="G147" s="4" t="s">
        <v>193</v>
      </c>
      <c r="H147">
        <v>4</v>
      </c>
      <c r="I147">
        <v>0</v>
      </c>
      <c r="N147" s="4" t="s">
        <v>193</v>
      </c>
      <c r="O147">
        <v>0</v>
      </c>
      <c r="Q147" s="4" t="s">
        <v>193</v>
      </c>
      <c r="R147">
        <v>4456737</v>
      </c>
      <c r="AB147">
        <v>0</v>
      </c>
      <c r="AC147">
        <v>0</v>
      </c>
      <c r="AD147">
        <v>0</v>
      </c>
      <c r="AE147">
        <v>0</v>
      </c>
    </row>
    <row r="148" spans="7:71" x14ac:dyDescent="0.3">
      <c r="G148" s="4" t="s">
        <v>194</v>
      </c>
      <c r="H148">
        <v>4</v>
      </c>
      <c r="I148">
        <v>2</v>
      </c>
      <c r="N148" s="4" t="s">
        <v>194</v>
      </c>
      <c r="O148">
        <v>156</v>
      </c>
      <c r="Q148" s="4" t="s">
        <v>194</v>
      </c>
      <c r="R148">
        <v>593319</v>
      </c>
      <c r="AB148">
        <v>0</v>
      </c>
      <c r="AC148">
        <v>0</v>
      </c>
      <c r="AD148">
        <v>0</v>
      </c>
      <c r="AE148">
        <v>0</v>
      </c>
    </row>
    <row r="149" spans="7:71" x14ac:dyDescent="0.3">
      <c r="G149" s="4" t="s">
        <v>195</v>
      </c>
      <c r="H149">
        <v>4</v>
      </c>
      <c r="I149">
        <v>0</v>
      </c>
      <c r="N149" s="4" t="s">
        <v>195</v>
      </c>
      <c r="O149">
        <v>0</v>
      </c>
      <c r="Q149" s="4" t="s">
        <v>195</v>
      </c>
      <c r="R149">
        <v>4329215</v>
      </c>
      <c r="AB149">
        <v>0</v>
      </c>
      <c r="AC149">
        <v>0</v>
      </c>
      <c r="AD149">
        <v>0</v>
      </c>
      <c r="AE149">
        <v>0</v>
      </c>
    </row>
    <row r="150" spans="7:71" x14ac:dyDescent="0.3">
      <c r="G150" s="4" t="s">
        <v>196</v>
      </c>
      <c r="H150">
        <v>3</v>
      </c>
      <c r="I150">
        <v>2</v>
      </c>
      <c r="N150" s="4" t="s">
        <v>196</v>
      </c>
      <c r="O150">
        <v>93</v>
      </c>
      <c r="Q150" s="4" t="s">
        <v>196</v>
      </c>
      <c r="R150">
        <v>869353</v>
      </c>
      <c r="AB150">
        <v>0</v>
      </c>
      <c r="AC150">
        <v>0</v>
      </c>
      <c r="AD150">
        <v>0</v>
      </c>
      <c r="AE150">
        <v>0</v>
      </c>
    </row>
    <row r="151" spans="7:71" x14ac:dyDescent="0.3">
      <c r="G151" s="4" t="s">
        <v>197</v>
      </c>
      <c r="H151">
        <v>3</v>
      </c>
      <c r="I151">
        <v>1</v>
      </c>
      <c r="N151" s="4" t="s">
        <v>197</v>
      </c>
      <c r="O151">
        <v>8</v>
      </c>
      <c r="Q151" s="4" t="s">
        <v>197</v>
      </c>
      <c r="R151">
        <v>1880546</v>
      </c>
      <c r="AB151">
        <v>0</v>
      </c>
      <c r="AC151">
        <v>0</v>
      </c>
      <c r="AD151">
        <v>0</v>
      </c>
      <c r="AE151">
        <v>0</v>
      </c>
    </row>
    <row r="152" spans="7:71" x14ac:dyDescent="0.3">
      <c r="G152" s="4" t="s">
        <v>198</v>
      </c>
      <c r="H152">
        <v>5</v>
      </c>
      <c r="I152">
        <v>1</v>
      </c>
      <c r="N152" s="4" t="s">
        <v>198</v>
      </c>
      <c r="O152">
        <v>0</v>
      </c>
      <c r="Q152" s="4" t="s">
        <v>198</v>
      </c>
      <c r="R152">
        <v>1039330</v>
      </c>
      <c r="AB152">
        <v>0</v>
      </c>
      <c r="AC152">
        <v>0</v>
      </c>
      <c r="AD152">
        <v>0</v>
      </c>
      <c r="AE152">
        <v>0</v>
      </c>
    </row>
    <row r="153" spans="7:71" x14ac:dyDescent="0.3">
      <c r="G153" s="4" t="s">
        <v>199</v>
      </c>
      <c r="H153">
        <v>2</v>
      </c>
      <c r="I153">
        <v>1</v>
      </c>
      <c r="N153" s="4" t="s">
        <v>199</v>
      </c>
      <c r="O153">
        <v>4</v>
      </c>
      <c r="Q153" s="4" t="s">
        <v>199</v>
      </c>
      <c r="R153">
        <v>1751803</v>
      </c>
      <c r="AB153">
        <v>0</v>
      </c>
      <c r="AC153">
        <v>0</v>
      </c>
      <c r="AD153">
        <v>0</v>
      </c>
      <c r="AE153">
        <v>0</v>
      </c>
    </row>
    <row r="154" spans="7:71" x14ac:dyDescent="0.3">
      <c r="G154" s="4" t="s">
        <v>200</v>
      </c>
      <c r="H154">
        <v>3</v>
      </c>
      <c r="I154">
        <v>1</v>
      </c>
      <c r="N154" s="4" t="s">
        <v>200</v>
      </c>
      <c r="O154">
        <v>0</v>
      </c>
      <c r="Q154" s="4" t="s">
        <v>200</v>
      </c>
      <c r="R154">
        <v>5000001</v>
      </c>
      <c r="AB154">
        <v>0</v>
      </c>
      <c r="AC154">
        <v>0</v>
      </c>
      <c r="AD154">
        <v>0</v>
      </c>
      <c r="AE154">
        <v>0</v>
      </c>
    </row>
    <row r="155" spans="7:71" x14ac:dyDescent="0.3">
      <c r="G155" s="4" t="s">
        <v>202</v>
      </c>
      <c r="H155">
        <v>4</v>
      </c>
      <c r="I155">
        <v>1</v>
      </c>
      <c r="N155" s="4" t="s">
        <v>202</v>
      </c>
      <c r="O155">
        <v>80</v>
      </c>
      <c r="Q155" s="4" t="s">
        <v>202</v>
      </c>
      <c r="R155">
        <v>1392748</v>
      </c>
      <c r="AB155">
        <v>0</v>
      </c>
      <c r="AC155">
        <v>0</v>
      </c>
      <c r="AD155">
        <v>0</v>
      </c>
      <c r="AE155">
        <v>0</v>
      </c>
    </row>
    <row r="156" spans="7:71" x14ac:dyDescent="0.3">
      <c r="G156" s="4" t="s">
        <v>203</v>
      </c>
      <c r="H156">
        <v>2</v>
      </c>
      <c r="I156">
        <v>0</v>
      </c>
      <c r="N156" s="4" t="s">
        <v>203</v>
      </c>
      <c r="O156">
        <v>6</v>
      </c>
      <c r="Q156" s="4" t="s">
        <v>203</v>
      </c>
      <c r="R156">
        <v>3066563</v>
      </c>
      <c r="AB156">
        <v>0</v>
      </c>
      <c r="AC156">
        <v>0</v>
      </c>
      <c r="AD156">
        <v>0</v>
      </c>
      <c r="AE156">
        <v>0</v>
      </c>
    </row>
    <row r="157" spans="7:71" x14ac:dyDescent="0.3">
      <c r="G157" s="4" t="s">
        <v>204</v>
      </c>
      <c r="H157">
        <v>5</v>
      </c>
      <c r="I157">
        <v>1</v>
      </c>
      <c r="N157" s="4" t="s">
        <v>204</v>
      </c>
      <c r="O157">
        <v>6</v>
      </c>
      <c r="Q157" s="4" t="s">
        <v>204</v>
      </c>
      <c r="R157">
        <v>2308156</v>
      </c>
      <c r="AB157">
        <v>0</v>
      </c>
      <c r="AC157">
        <v>0</v>
      </c>
      <c r="AD157">
        <v>0</v>
      </c>
      <c r="AE157">
        <v>0</v>
      </c>
    </row>
    <row r="158" spans="7:71" x14ac:dyDescent="0.3">
      <c r="G158" s="4" t="s">
        <v>205</v>
      </c>
      <c r="H158">
        <v>6</v>
      </c>
      <c r="I158">
        <v>1</v>
      </c>
      <c r="N158" s="4" t="s">
        <v>205</v>
      </c>
      <c r="O158">
        <v>328</v>
      </c>
      <c r="Q158" s="4" t="s">
        <v>205</v>
      </c>
      <c r="R158">
        <v>1753828</v>
      </c>
      <c r="AB158">
        <v>0</v>
      </c>
      <c r="AC158">
        <v>0</v>
      </c>
      <c r="AD158">
        <v>0</v>
      </c>
      <c r="AE158">
        <v>0</v>
      </c>
    </row>
    <row r="159" spans="7:71" x14ac:dyDescent="0.3">
      <c r="G159" s="4" t="s">
        <v>206</v>
      </c>
      <c r="H159">
        <v>0</v>
      </c>
      <c r="I159">
        <v>0</v>
      </c>
      <c r="N159" s="4" t="s">
        <v>206</v>
      </c>
      <c r="O159">
        <v>0</v>
      </c>
      <c r="Q159" s="4" t="s">
        <v>206</v>
      </c>
      <c r="R159">
        <v>0</v>
      </c>
      <c r="AB159">
        <v>0</v>
      </c>
      <c r="AC159">
        <v>0</v>
      </c>
      <c r="AD159">
        <v>0</v>
      </c>
      <c r="AE159">
        <v>0</v>
      </c>
    </row>
    <row r="160" spans="7:71" x14ac:dyDescent="0.3">
      <c r="G160" s="4" t="s">
        <v>207</v>
      </c>
      <c r="H160">
        <v>1</v>
      </c>
      <c r="I160">
        <v>0</v>
      </c>
      <c r="N160" s="4" t="s">
        <v>207</v>
      </c>
      <c r="O160">
        <v>0</v>
      </c>
      <c r="Q160" s="4" t="s">
        <v>207</v>
      </c>
      <c r="R160">
        <v>5000001</v>
      </c>
      <c r="AB160">
        <v>0</v>
      </c>
      <c r="AC160">
        <v>0</v>
      </c>
      <c r="AD160">
        <v>0</v>
      </c>
      <c r="AE160">
        <v>0</v>
      </c>
    </row>
    <row r="161" spans="7:31" x14ac:dyDescent="0.3">
      <c r="G161" s="4" t="s">
        <v>208</v>
      </c>
      <c r="H161">
        <v>3</v>
      </c>
      <c r="I161">
        <v>1</v>
      </c>
      <c r="N161" s="4" t="s">
        <v>208</v>
      </c>
      <c r="O161">
        <v>0</v>
      </c>
      <c r="Q161" s="4" t="s">
        <v>208</v>
      </c>
      <c r="R161">
        <v>4290187</v>
      </c>
      <c r="AB161">
        <v>0</v>
      </c>
      <c r="AC161">
        <v>0</v>
      </c>
      <c r="AD161">
        <v>0</v>
      </c>
      <c r="AE161">
        <v>0</v>
      </c>
    </row>
    <row r="162" spans="7:31" x14ac:dyDescent="0.3">
      <c r="G162" s="4" t="s">
        <v>209</v>
      </c>
      <c r="H162">
        <v>5</v>
      </c>
      <c r="I162">
        <v>0</v>
      </c>
      <c r="N162" s="4" t="s">
        <v>209</v>
      </c>
      <c r="O162">
        <v>12</v>
      </c>
      <c r="Q162" s="4" t="s">
        <v>209</v>
      </c>
      <c r="R162">
        <v>2624147</v>
      </c>
      <c r="AB162">
        <v>0</v>
      </c>
      <c r="AC162">
        <v>0</v>
      </c>
      <c r="AD162">
        <v>0</v>
      </c>
      <c r="AE162">
        <v>0</v>
      </c>
    </row>
    <row r="163" spans="7:31" x14ac:dyDescent="0.3">
      <c r="G163" s="4" t="s">
        <v>210</v>
      </c>
      <c r="H163">
        <v>2</v>
      </c>
      <c r="I163">
        <v>2</v>
      </c>
      <c r="N163" s="4" t="s">
        <v>210</v>
      </c>
      <c r="O163">
        <v>1</v>
      </c>
      <c r="Q163" s="4" t="s">
        <v>210</v>
      </c>
      <c r="R163">
        <v>1070228</v>
      </c>
      <c r="AB163">
        <v>0</v>
      </c>
      <c r="AC163">
        <v>0</v>
      </c>
      <c r="AD163">
        <v>0</v>
      </c>
      <c r="AE163">
        <v>0</v>
      </c>
    </row>
    <row r="164" spans="7:31" x14ac:dyDescent="0.3">
      <c r="G164" s="4" t="s">
        <v>211</v>
      </c>
      <c r="H164">
        <v>6</v>
      </c>
      <c r="I164">
        <v>3</v>
      </c>
      <c r="N164" s="4" t="s">
        <v>211</v>
      </c>
      <c r="O164">
        <v>367</v>
      </c>
      <c r="Q164" s="4" t="s">
        <v>211</v>
      </c>
      <c r="R164">
        <v>683790</v>
      </c>
      <c r="AB164">
        <v>0</v>
      </c>
      <c r="AC164">
        <v>0</v>
      </c>
      <c r="AD164">
        <v>0</v>
      </c>
      <c r="AE164">
        <v>0</v>
      </c>
    </row>
    <row r="165" spans="7:31" x14ac:dyDescent="0.3">
      <c r="G165" s="4" t="s">
        <v>212</v>
      </c>
      <c r="H165">
        <v>5</v>
      </c>
      <c r="I165">
        <v>1</v>
      </c>
      <c r="N165" s="4" t="s">
        <v>212</v>
      </c>
      <c r="O165">
        <v>0</v>
      </c>
      <c r="Q165" s="4" t="s">
        <v>212</v>
      </c>
      <c r="R165">
        <v>1529510</v>
      </c>
      <c r="AB165">
        <v>0</v>
      </c>
      <c r="AC165">
        <v>0</v>
      </c>
      <c r="AD165">
        <v>0</v>
      </c>
      <c r="AE165">
        <v>0</v>
      </c>
    </row>
    <row r="166" spans="7:31" x14ac:dyDescent="0.3">
      <c r="G166" s="4" t="s">
        <v>213</v>
      </c>
      <c r="H166">
        <v>3</v>
      </c>
      <c r="I166">
        <v>2</v>
      </c>
      <c r="N166" s="4" t="s">
        <v>213</v>
      </c>
      <c r="O166">
        <v>9</v>
      </c>
      <c r="Q166" s="4" t="s">
        <v>213</v>
      </c>
      <c r="R166">
        <v>2675759</v>
      </c>
      <c r="AB166">
        <v>0</v>
      </c>
      <c r="AC166">
        <v>0</v>
      </c>
      <c r="AD166">
        <v>0</v>
      </c>
      <c r="AE166">
        <v>0</v>
      </c>
    </row>
    <row r="167" spans="7:31" x14ac:dyDescent="0.3">
      <c r="G167" s="4" t="s">
        <v>214</v>
      </c>
      <c r="H167">
        <v>3</v>
      </c>
      <c r="I167">
        <v>1</v>
      </c>
      <c r="N167" s="4" t="s">
        <v>214</v>
      </c>
      <c r="O167">
        <v>136</v>
      </c>
      <c r="Q167" s="4" t="s">
        <v>214</v>
      </c>
      <c r="R167">
        <v>1000017</v>
      </c>
      <c r="AB167">
        <v>0</v>
      </c>
      <c r="AC167">
        <v>0</v>
      </c>
      <c r="AD167">
        <v>0</v>
      </c>
      <c r="AE167">
        <v>0</v>
      </c>
    </row>
    <row r="168" spans="7:31" x14ac:dyDescent="0.3">
      <c r="G168" s="4" t="s">
        <v>215</v>
      </c>
      <c r="H168">
        <v>5</v>
      </c>
      <c r="I168">
        <v>2</v>
      </c>
      <c r="N168" s="4" t="s">
        <v>215</v>
      </c>
      <c r="O168">
        <v>133</v>
      </c>
      <c r="Q168" s="4" t="s">
        <v>215</v>
      </c>
      <c r="R168">
        <v>579693</v>
      </c>
      <c r="AB168">
        <v>0</v>
      </c>
      <c r="AC168">
        <v>0</v>
      </c>
      <c r="AD168">
        <v>0</v>
      </c>
      <c r="AE168">
        <v>0</v>
      </c>
    </row>
    <row r="169" spans="7:31" x14ac:dyDescent="0.3">
      <c r="G169" s="4" t="s">
        <v>216</v>
      </c>
      <c r="H169">
        <v>4</v>
      </c>
      <c r="I169">
        <v>2</v>
      </c>
      <c r="N169" s="4" t="s">
        <v>216</v>
      </c>
      <c r="O169">
        <v>0</v>
      </c>
      <c r="Q169" s="4" t="s">
        <v>216</v>
      </c>
      <c r="R169">
        <v>1546026</v>
      </c>
      <c r="AB169">
        <v>0</v>
      </c>
      <c r="AC169">
        <v>0</v>
      </c>
      <c r="AD169">
        <v>0</v>
      </c>
      <c r="AE169">
        <v>0</v>
      </c>
    </row>
    <row r="170" spans="7:31" x14ac:dyDescent="0.3">
      <c r="G170" s="4" t="s">
        <v>218</v>
      </c>
      <c r="H170">
        <v>2</v>
      </c>
      <c r="I170">
        <v>1</v>
      </c>
      <c r="N170" s="4" t="s">
        <v>218</v>
      </c>
      <c r="O170">
        <v>105</v>
      </c>
      <c r="Q170" s="4" t="s">
        <v>218</v>
      </c>
      <c r="R170">
        <v>3674756</v>
      </c>
      <c r="AB170">
        <v>0</v>
      </c>
      <c r="AC170">
        <v>0</v>
      </c>
      <c r="AD170">
        <v>0</v>
      </c>
      <c r="AE170">
        <v>0</v>
      </c>
    </row>
    <row r="171" spans="7:31" x14ac:dyDescent="0.3">
      <c r="G171" s="4" t="s">
        <v>219</v>
      </c>
      <c r="H171">
        <v>4</v>
      </c>
      <c r="I171">
        <v>2</v>
      </c>
      <c r="N171" s="4" t="s">
        <v>219</v>
      </c>
      <c r="O171">
        <v>17</v>
      </c>
      <c r="Q171" s="4" t="s">
        <v>219</v>
      </c>
      <c r="R171">
        <v>1696238</v>
      </c>
      <c r="AB171">
        <v>0</v>
      </c>
      <c r="AC171">
        <v>0</v>
      </c>
      <c r="AD171">
        <v>0</v>
      </c>
      <c r="AE171">
        <v>0</v>
      </c>
    </row>
    <row r="172" spans="7:31" x14ac:dyDescent="0.3">
      <c r="G172" s="4" t="s">
        <v>221</v>
      </c>
      <c r="H172">
        <v>2</v>
      </c>
      <c r="I172">
        <v>0</v>
      </c>
      <c r="N172" s="4" t="s">
        <v>221</v>
      </c>
      <c r="O172">
        <v>0</v>
      </c>
      <c r="Q172" s="4" t="s">
        <v>221</v>
      </c>
      <c r="R172">
        <v>5000001</v>
      </c>
      <c r="AB172">
        <v>0</v>
      </c>
      <c r="AC172">
        <v>0</v>
      </c>
      <c r="AD172">
        <v>0</v>
      </c>
      <c r="AE172">
        <v>0</v>
      </c>
    </row>
    <row r="173" spans="7:31" x14ac:dyDescent="0.3">
      <c r="G173" s="4" t="s">
        <v>222</v>
      </c>
      <c r="H173">
        <v>0</v>
      </c>
      <c r="I173">
        <v>0</v>
      </c>
      <c r="N173" s="4" t="s">
        <v>222</v>
      </c>
      <c r="O173">
        <v>23</v>
      </c>
      <c r="Q173" s="4" t="s">
        <v>222</v>
      </c>
      <c r="R173">
        <v>2207971</v>
      </c>
      <c r="AB173">
        <v>0</v>
      </c>
      <c r="AC173">
        <v>0</v>
      </c>
      <c r="AD173">
        <v>0</v>
      </c>
      <c r="AE173">
        <v>0</v>
      </c>
    </row>
    <row r="174" spans="7:31" x14ac:dyDescent="0.3">
      <c r="G174" s="4" t="s">
        <v>223</v>
      </c>
      <c r="H174">
        <v>5</v>
      </c>
      <c r="I174">
        <v>1</v>
      </c>
      <c r="N174" s="4" t="s">
        <v>223</v>
      </c>
      <c r="O174">
        <v>117</v>
      </c>
      <c r="Q174" s="4" t="s">
        <v>223</v>
      </c>
      <c r="R174">
        <v>1642169</v>
      </c>
      <c r="AB174">
        <v>0</v>
      </c>
      <c r="AC174">
        <v>0</v>
      </c>
      <c r="AD174">
        <v>0</v>
      </c>
      <c r="AE174">
        <v>0</v>
      </c>
    </row>
    <row r="175" spans="7:31" x14ac:dyDescent="0.3">
      <c r="G175" s="4" t="s">
        <v>224</v>
      </c>
      <c r="H175">
        <v>3</v>
      </c>
      <c r="I175">
        <v>1</v>
      </c>
      <c r="N175" s="4" t="s">
        <v>224</v>
      </c>
      <c r="O175">
        <v>12</v>
      </c>
      <c r="Q175" s="4" t="s">
        <v>224</v>
      </c>
      <c r="R175">
        <v>2207974</v>
      </c>
      <c r="AB175">
        <v>0</v>
      </c>
      <c r="AC175">
        <v>0</v>
      </c>
      <c r="AD175">
        <v>0</v>
      </c>
      <c r="AE175">
        <v>0</v>
      </c>
    </row>
    <row r="176" spans="7:31" x14ac:dyDescent="0.3">
      <c r="G176" s="4" t="s">
        <v>225</v>
      </c>
      <c r="H176">
        <v>5</v>
      </c>
      <c r="I176">
        <v>0</v>
      </c>
      <c r="N176" s="4" t="s">
        <v>225</v>
      </c>
      <c r="O176">
        <v>1</v>
      </c>
      <c r="Q176" s="4" t="s">
        <v>225</v>
      </c>
      <c r="R176">
        <v>5000001</v>
      </c>
      <c r="AB176">
        <v>0</v>
      </c>
      <c r="AC176">
        <v>0</v>
      </c>
      <c r="AD176">
        <v>0</v>
      </c>
      <c r="AE176">
        <v>0</v>
      </c>
    </row>
    <row r="177" spans="7:31" x14ac:dyDescent="0.3">
      <c r="G177" s="4" t="s">
        <v>226</v>
      </c>
      <c r="H177">
        <v>4</v>
      </c>
      <c r="I177">
        <v>1</v>
      </c>
      <c r="N177" s="4" t="s">
        <v>226</v>
      </c>
      <c r="O177">
        <v>347</v>
      </c>
      <c r="Q177" s="4" t="s">
        <v>226</v>
      </c>
      <c r="R177">
        <v>298490</v>
      </c>
      <c r="AB177">
        <v>0</v>
      </c>
      <c r="AC177">
        <v>0</v>
      </c>
      <c r="AD177">
        <v>0</v>
      </c>
      <c r="AE177">
        <v>0</v>
      </c>
    </row>
    <row r="178" spans="7:31" x14ac:dyDescent="0.3">
      <c r="G178" s="4" t="s">
        <v>227</v>
      </c>
      <c r="H178">
        <v>6</v>
      </c>
      <c r="I178">
        <v>1</v>
      </c>
      <c r="N178" s="4" t="s">
        <v>227</v>
      </c>
      <c r="O178">
        <v>197</v>
      </c>
      <c r="Q178" s="4" t="s">
        <v>227</v>
      </c>
      <c r="R178">
        <v>1031082</v>
      </c>
      <c r="AB178">
        <v>0</v>
      </c>
      <c r="AC178">
        <v>0</v>
      </c>
      <c r="AD178">
        <v>0</v>
      </c>
      <c r="AE178">
        <v>0</v>
      </c>
    </row>
    <row r="179" spans="7:31" x14ac:dyDescent="0.3">
      <c r="G179" s="4" t="s">
        <v>228</v>
      </c>
      <c r="H179">
        <v>4</v>
      </c>
      <c r="I179">
        <v>1</v>
      </c>
      <c r="N179" s="4" t="s">
        <v>228</v>
      </c>
      <c r="O179">
        <v>5</v>
      </c>
      <c r="Q179" s="4" t="s">
        <v>228</v>
      </c>
      <c r="R179">
        <v>2176916</v>
      </c>
      <c r="AB179">
        <v>0</v>
      </c>
      <c r="AC179">
        <v>0</v>
      </c>
      <c r="AD179">
        <v>0</v>
      </c>
      <c r="AE179">
        <v>0</v>
      </c>
    </row>
    <row r="180" spans="7:31" x14ac:dyDescent="0.3">
      <c r="G180" s="4" t="s">
        <v>229</v>
      </c>
      <c r="H180">
        <v>3</v>
      </c>
      <c r="I180">
        <v>1</v>
      </c>
      <c r="N180" s="4" t="s">
        <v>229</v>
      </c>
      <c r="O180">
        <v>0</v>
      </c>
      <c r="Q180" s="4" t="s">
        <v>229</v>
      </c>
      <c r="R180">
        <v>2117895</v>
      </c>
      <c r="AB180">
        <v>0</v>
      </c>
      <c r="AC180">
        <v>0</v>
      </c>
      <c r="AD180">
        <v>0</v>
      </c>
      <c r="AE180">
        <v>0</v>
      </c>
    </row>
    <row r="181" spans="7:31" x14ac:dyDescent="0.3">
      <c r="G181" s="4" t="s">
        <v>230</v>
      </c>
      <c r="H181">
        <v>5</v>
      </c>
      <c r="I181">
        <v>1</v>
      </c>
      <c r="N181" s="4" t="s">
        <v>230</v>
      </c>
      <c r="O181">
        <v>404</v>
      </c>
      <c r="Q181" s="4" t="s">
        <v>230</v>
      </c>
      <c r="R181">
        <v>795383</v>
      </c>
      <c r="AB181">
        <v>0</v>
      </c>
      <c r="AC181">
        <v>0</v>
      </c>
      <c r="AD181">
        <v>0</v>
      </c>
      <c r="AE181">
        <v>0</v>
      </c>
    </row>
    <row r="182" spans="7:31" x14ac:dyDescent="0.3">
      <c r="G182" s="4" t="s">
        <v>231</v>
      </c>
      <c r="H182">
        <v>6</v>
      </c>
      <c r="I182">
        <v>1</v>
      </c>
      <c r="N182" s="4" t="s">
        <v>231</v>
      </c>
      <c r="O182">
        <v>313</v>
      </c>
      <c r="Q182" s="4" t="s">
        <v>231</v>
      </c>
      <c r="R182">
        <v>526298</v>
      </c>
      <c r="AB182">
        <v>0</v>
      </c>
      <c r="AC182">
        <v>0</v>
      </c>
      <c r="AD182">
        <v>0</v>
      </c>
      <c r="AE182">
        <v>0</v>
      </c>
    </row>
    <row r="183" spans="7:31" x14ac:dyDescent="0.3">
      <c r="G183" s="4" t="s">
        <v>232</v>
      </c>
      <c r="H183">
        <v>3</v>
      </c>
      <c r="I183">
        <v>3</v>
      </c>
      <c r="N183" s="4" t="s">
        <v>232</v>
      </c>
      <c r="O183">
        <v>40</v>
      </c>
      <c r="Q183" s="4" t="s">
        <v>232</v>
      </c>
      <c r="R183">
        <v>3657397</v>
      </c>
      <c r="AB183">
        <v>0</v>
      </c>
      <c r="AC183">
        <v>0</v>
      </c>
      <c r="AD183">
        <v>0</v>
      </c>
      <c r="AE183">
        <v>0</v>
      </c>
    </row>
    <row r="184" spans="7:31" x14ac:dyDescent="0.3">
      <c r="G184" s="4" t="s">
        <v>234</v>
      </c>
      <c r="H184">
        <v>5</v>
      </c>
      <c r="I184">
        <v>1</v>
      </c>
      <c r="N184" s="4" t="s">
        <v>234</v>
      </c>
      <c r="O184">
        <v>81</v>
      </c>
      <c r="Q184" s="4" t="s">
        <v>234</v>
      </c>
      <c r="R184">
        <v>1333186</v>
      </c>
      <c r="AB184">
        <v>0</v>
      </c>
      <c r="AC184">
        <v>0</v>
      </c>
      <c r="AD184">
        <v>0</v>
      </c>
      <c r="AE184">
        <v>0</v>
      </c>
    </row>
    <row r="185" spans="7:31" x14ac:dyDescent="0.3">
      <c r="G185" s="4" t="s">
        <v>235</v>
      </c>
      <c r="H185">
        <v>6</v>
      </c>
      <c r="I185">
        <v>2</v>
      </c>
      <c r="N185" s="4" t="s">
        <v>235</v>
      </c>
      <c r="O185">
        <v>199</v>
      </c>
      <c r="Q185" s="4" t="s">
        <v>235</v>
      </c>
      <c r="R185">
        <v>426779</v>
      </c>
      <c r="AB185">
        <v>0</v>
      </c>
      <c r="AC185">
        <v>0</v>
      </c>
      <c r="AD185">
        <v>0</v>
      </c>
      <c r="AE185">
        <v>0</v>
      </c>
    </row>
    <row r="186" spans="7:31" x14ac:dyDescent="0.3">
      <c r="G186" s="4" t="s">
        <v>236</v>
      </c>
      <c r="H186">
        <v>3</v>
      </c>
      <c r="I186">
        <v>2</v>
      </c>
      <c r="N186" s="4" t="s">
        <v>236</v>
      </c>
      <c r="O186">
        <v>13</v>
      </c>
      <c r="Q186" s="4" t="s">
        <v>236</v>
      </c>
      <c r="R186">
        <v>3005212</v>
      </c>
      <c r="AB186">
        <v>0</v>
      </c>
      <c r="AC186">
        <v>0</v>
      </c>
      <c r="AD186">
        <v>0</v>
      </c>
      <c r="AE186">
        <v>0</v>
      </c>
    </row>
    <row r="187" spans="7:31" x14ac:dyDescent="0.3">
      <c r="G187" s="4" t="s">
        <v>237</v>
      </c>
      <c r="H187">
        <v>4</v>
      </c>
      <c r="I187">
        <v>2</v>
      </c>
      <c r="N187" s="4" t="s">
        <v>237</v>
      </c>
      <c r="O187">
        <v>23</v>
      </c>
      <c r="Q187" s="4" t="s">
        <v>237</v>
      </c>
      <c r="R187">
        <v>1392066</v>
      </c>
      <c r="AB187">
        <v>0</v>
      </c>
      <c r="AC187">
        <v>0</v>
      </c>
      <c r="AD187">
        <v>0</v>
      </c>
      <c r="AE187">
        <v>0</v>
      </c>
    </row>
    <row r="188" spans="7:31" x14ac:dyDescent="0.3">
      <c r="G188" s="4" t="s">
        <v>238</v>
      </c>
      <c r="H188">
        <v>5</v>
      </c>
      <c r="I188">
        <v>1</v>
      </c>
      <c r="N188" s="4" t="s">
        <v>238</v>
      </c>
      <c r="O188">
        <v>216</v>
      </c>
      <c r="Q188" s="4" t="s">
        <v>238</v>
      </c>
      <c r="R188">
        <v>912090</v>
      </c>
      <c r="AB188">
        <v>0</v>
      </c>
      <c r="AC188">
        <v>0</v>
      </c>
      <c r="AD188">
        <v>0</v>
      </c>
      <c r="AE188">
        <v>0</v>
      </c>
    </row>
    <row r="189" spans="7:31" x14ac:dyDescent="0.3">
      <c r="G189" s="4" t="s">
        <v>239</v>
      </c>
      <c r="H189">
        <v>2</v>
      </c>
      <c r="I189">
        <v>1</v>
      </c>
      <c r="N189" s="4" t="s">
        <v>239</v>
      </c>
      <c r="O189">
        <v>6</v>
      </c>
      <c r="Q189" s="4" t="s">
        <v>239</v>
      </c>
      <c r="R189">
        <v>2415775</v>
      </c>
      <c r="AB189">
        <v>0</v>
      </c>
      <c r="AC189">
        <v>0</v>
      </c>
      <c r="AD189">
        <v>0</v>
      </c>
      <c r="AE189">
        <v>0</v>
      </c>
    </row>
    <row r="190" spans="7:31" x14ac:dyDescent="0.3">
      <c r="G190" s="4" t="s">
        <v>240</v>
      </c>
      <c r="H190">
        <v>3</v>
      </c>
      <c r="I190">
        <v>1</v>
      </c>
      <c r="N190" s="4" t="s">
        <v>240</v>
      </c>
      <c r="O190">
        <v>176</v>
      </c>
      <c r="Q190" s="4" t="s">
        <v>240</v>
      </c>
      <c r="R190">
        <v>1926559</v>
      </c>
      <c r="AB190">
        <v>0</v>
      </c>
      <c r="AC190">
        <v>0</v>
      </c>
      <c r="AD190">
        <v>0</v>
      </c>
      <c r="AE190">
        <v>0</v>
      </c>
    </row>
    <row r="191" spans="7:31" x14ac:dyDescent="0.3">
      <c r="G191" s="4" t="s">
        <v>241</v>
      </c>
      <c r="H191">
        <v>4</v>
      </c>
      <c r="I191">
        <v>1</v>
      </c>
      <c r="N191" s="4" t="s">
        <v>241</v>
      </c>
      <c r="O191">
        <v>0</v>
      </c>
      <c r="Q191" s="4" t="s">
        <v>241</v>
      </c>
      <c r="R191">
        <v>3763145</v>
      </c>
      <c r="AB191">
        <v>0</v>
      </c>
      <c r="AC191">
        <v>0</v>
      </c>
      <c r="AD191">
        <v>0</v>
      </c>
      <c r="AE191">
        <v>0</v>
      </c>
    </row>
    <row r="192" spans="7:31" x14ac:dyDescent="0.3">
      <c r="G192" s="4" t="s">
        <v>242</v>
      </c>
      <c r="H192">
        <v>4</v>
      </c>
      <c r="I192">
        <v>1</v>
      </c>
      <c r="N192" s="4" t="s">
        <v>242</v>
      </c>
      <c r="O192">
        <v>18</v>
      </c>
      <c r="Q192" s="4" t="s">
        <v>242</v>
      </c>
      <c r="R192">
        <v>1417386</v>
      </c>
      <c r="AB192">
        <v>0</v>
      </c>
      <c r="AC192">
        <v>0</v>
      </c>
      <c r="AD192">
        <v>0</v>
      </c>
      <c r="AE192">
        <v>0</v>
      </c>
    </row>
    <row r="193" spans="7:31" x14ac:dyDescent="0.3">
      <c r="G193" s="4" t="s">
        <v>243</v>
      </c>
      <c r="H193">
        <v>3</v>
      </c>
      <c r="I193">
        <v>1</v>
      </c>
      <c r="N193" s="4" t="s">
        <v>243</v>
      </c>
      <c r="O193">
        <v>303</v>
      </c>
      <c r="Q193" s="4" t="s">
        <v>243</v>
      </c>
      <c r="R193">
        <v>464531</v>
      </c>
      <c r="AB193">
        <v>0</v>
      </c>
      <c r="AC193">
        <v>0</v>
      </c>
      <c r="AD193">
        <v>0</v>
      </c>
      <c r="AE193">
        <v>0</v>
      </c>
    </row>
    <row r="194" spans="7:31" x14ac:dyDescent="0.3">
      <c r="G194" s="4" t="s">
        <v>244</v>
      </c>
      <c r="H194">
        <v>4</v>
      </c>
      <c r="I194">
        <v>2</v>
      </c>
      <c r="N194" s="4" t="s">
        <v>244</v>
      </c>
      <c r="O194">
        <v>26</v>
      </c>
      <c r="Q194" s="4" t="s">
        <v>244</v>
      </c>
      <c r="R194">
        <v>1245603</v>
      </c>
      <c r="AB194">
        <v>0</v>
      </c>
      <c r="AC194">
        <v>0</v>
      </c>
      <c r="AD194">
        <v>0</v>
      </c>
      <c r="AE194">
        <v>0</v>
      </c>
    </row>
    <row r="195" spans="7:31" x14ac:dyDescent="0.3">
      <c r="G195" s="4" t="s">
        <v>245</v>
      </c>
      <c r="H195">
        <v>1</v>
      </c>
      <c r="I195">
        <v>1</v>
      </c>
      <c r="N195" s="4" t="s">
        <v>245</v>
      </c>
      <c r="O195">
        <v>0</v>
      </c>
      <c r="Q195" s="4" t="s">
        <v>245</v>
      </c>
      <c r="R195">
        <v>4328995</v>
      </c>
      <c r="AB195">
        <v>0</v>
      </c>
      <c r="AC195">
        <v>0</v>
      </c>
      <c r="AD195">
        <v>0</v>
      </c>
      <c r="AE195">
        <v>0</v>
      </c>
    </row>
    <row r="196" spans="7:31" x14ac:dyDescent="0.3">
      <c r="G196" s="4" t="s">
        <v>246</v>
      </c>
      <c r="H196">
        <v>5</v>
      </c>
      <c r="I196">
        <v>1</v>
      </c>
      <c r="N196" s="4" t="s">
        <v>246</v>
      </c>
      <c r="O196">
        <v>4</v>
      </c>
      <c r="Q196" s="4" t="s">
        <v>246</v>
      </c>
      <c r="R196">
        <v>1857942</v>
      </c>
      <c r="AB196">
        <v>0</v>
      </c>
      <c r="AC196">
        <v>0</v>
      </c>
      <c r="AD196">
        <v>0</v>
      </c>
      <c r="AE196">
        <v>0</v>
      </c>
    </row>
    <row r="197" spans="7:31" x14ac:dyDescent="0.3">
      <c r="G197" s="4" t="s">
        <v>248</v>
      </c>
      <c r="H197">
        <v>3</v>
      </c>
      <c r="I197">
        <v>1</v>
      </c>
      <c r="N197" s="4" t="s">
        <v>248</v>
      </c>
      <c r="O197">
        <v>4</v>
      </c>
      <c r="Q197" s="4" t="s">
        <v>248</v>
      </c>
      <c r="R197">
        <v>2416563</v>
      </c>
      <c r="AB197">
        <v>0</v>
      </c>
      <c r="AC197">
        <v>0</v>
      </c>
      <c r="AD197">
        <v>0</v>
      </c>
      <c r="AE197">
        <v>0</v>
      </c>
    </row>
    <row r="198" spans="7:31" x14ac:dyDescent="0.3">
      <c r="G198" s="4" t="s">
        <v>249</v>
      </c>
      <c r="H198">
        <v>3</v>
      </c>
      <c r="I198">
        <v>2</v>
      </c>
      <c r="N198" s="4" t="s">
        <v>249</v>
      </c>
      <c r="O198">
        <v>0</v>
      </c>
      <c r="Q198" s="4" t="s">
        <v>249</v>
      </c>
      <c r="R198">
        <v>2673309</v>
      </c>
      <c r="AB198">
        <v>0</v>
      </c>
      <c r="AC198">
        <v>0</v>
      </c>
      <c r="AD198">
        <v>0</v>
      </c>
      <c r="AE198">
        <v>0</v>
      </c>
    </row>
    <row r="199" spans="7:31" x14ac:dyDescent="0.3">
      <c r="G199" s="4" t="s">
        <v>250</v>
      </c>
      <c r="H199">
        <v>5</v>
      </c>
      <c r="I199">
        <v>1</v>
      </c>
      <c r="N199" s="4" t="s">
        <v>250</v>
      </c>
      <c r="O199">
        <v>0</v>
      </c>
      <c r="Q199" s="4" t="s">
        <v>250</v>
      </c>
      <c r="R199">
        <v>370985</v>
      </c>
      <c r="AB199">
        <v>0</v>
      </c>
      <c r="AC199">
        <v>0</v>
      </c>
      <c r="AD199">
        <v>0</v>
      </c>
      <c r="AE199">
        <v>0</v>
      </c>
    </row>
    <row r="200" spans="7:31" x14ac:dyDescent="0.3">
      <c r="G200" s="4" t="s">
        <v>251</v>
      </c>
      <c r="H200">
        <v>2</v>
      </c>
      <c r="I200">
        <v>0</v>
      </c>
      <c r="N200" s="4" t="s">
        <v>251</v>
      </c>
      <c r="O200">
        <v>5</v>
      </c>
      <c r="Q200" s="4" t="s">
        <v>251</v>
      </c>
      <c r="R200">
        <v>5000001</v>
      </c>
      <c r="AB200">
        <v>0</v>
      </c>
      <c r="AC200">
        <v>0</v>
      </c>
      <c r="AD200">
        <v>0</v>
      </c>
      <c r="AE200">
        <v>0</v>
      </c>
    </row>
    <row r="201" spans="7:31" x14ac:dyDescent="0.3">
      <c r="G201" s="4" t="s">
        <v>252</v>
      </c>
      <c r="H201">
        <v>3</v>
      </c>
      <c r="I201">
        <v>1</v>
      </c>
      <c r="N201" s="4" t="s">
        <v>252</v>
      </c>
      <c r="O201">
        <v>0</v>
      </c>
      <c r="Q201" s="4" t="s">
        <v>252</v>
      </c>
      <c r="R201">
        <v>899480</v>
      </c>
      <c r="AB201">
        <v>0</v>
      </c>
      <c r="AC201">
        <v>0</v>
      </c>
      <c r="AD201">
        <v>0</v>
      </c>
      <c r="AE201">
        <v>0</v>
      </c>
    </row>
    <row r="202" spans="7:31" x14ac:dyDescent="0.3">
      <c r="G202" s="4" t="s">
        <v>253</v>
      </c>
      <c r="H202">
        <v>4</v>
      </c>
      <c r="I202">
        <v>3</v>
      </c>
      <c r="N202" s="4" t="s">
        <v>253</v>
      </c>
      <c r="O202">
        <v>0</v>
      </c>
      <c r="Q202" s="4" t="s">
        <v>253</v>
      </c>
      <c r="R202">
        <v>1196890</v>
      </c>
      <c r="AB202">
        <v>0</v>
      </c>
      <c r="AC202">
        <v>0</v>
      </c>
      <c r="AD202">
        <v>0</v>
      </c>
      <c r="AE202">
        <v>0</v>
      </c>
    </row>
    <row r="203" spans="7:31" x14ac:dyDescent="0.3">
      <c r="G203" s="4" t="s">
        <v>255</v>
      </c>
      <c r="H203">
        <v>6</v>
      </c>
      <c r="I203">
        <v>1</v>
      </c>
      <c r="N203" s="4" t="s">
        <v>255</v>
      </c>
      <c r="O203">
        <v>320</v>
      </c>
      <c r="Q203" s="4" t="s">
        <v>255</v>
      </c>
      <c r="R203">
        <v>288806</v>
      </c>
      <c r="AB203">
        <v>0</v>
      </c>
      <c r="AC203">
        <v>0</v>
      </c>
      <c r="AD203">
        <v>0</v>
      </c>
      <c r="AE203">
        <v>0</v>
      </c>
    </row>
    <row r="204" spans="7:31" x14ac:dyDescent="0.3">
      <c r="G204" s="4" t="s">
        <v>256</v>
      </c>
      <c r="H204">
        <v>0</v>
      </c>
      <c r="I204">
        <v>0</v>
      </c>
      <c r="N204" s="4" t="s">
        <v>256</v>
      </c>
      <c r="O204">
        <v>0</v>
      </c>
      <c r="Q204" s="4" t="s">
        <v>256</v>
      </c>
      <c r="R204">
        <v>355226</v>
      </c>
      <c r="AB204">
        <v>0</v>
      </c>
      <c r="AC204">
        <v>0</v>
      </c>
      <c r="AD204">
        <v>0</v>
      </c>
      <c r="AE204">
        <v>0</v>
      </c>
    </row>
    <row r="205" spans="7:31" x14ac:dyDescent="0.3">
      <c r="G205" s="4" t="s">
        <v>257</v>
      </c>
      <c r="H205">
        <v>6</v>
      </c>
      <c r="I205">
        <v>2</v>
      </c>
      <c r="N205" s="4" t="s">
        <v>257</v>
      </c>
      <c r="O205">
        <v>75</v>
      </c>
      <c r="Q205" s="4" t="s">
        <v>257</v>
      </c>
      <c r="R205">
        <v>1299134</v>
      </c>
      <c r="AB205">
        <v>0</v>
      </c>
      <c r="AC205">
        <v>0</v>
      </c>
      <c r="AD205">
        <v>0</v>
      </c>
      <c r="AE205">
        <v>0</v>
      </c>
    </row>
    <row r="206" spans="7:31" x14ac:dyDescent="0.3">
      <c r="G206" s="4" t="s">
        <v>258</v>
      </c>
      <c r="H206">
        <v>4</v>
      </c>
      <c r="I206">
        <v>1</v>
      </c>
      <c r="N206" s="4" t="s">
        <v>258</v>
      </c>
      <c r="O206">
        <v>0</v>
      </c>
      <c r="Q206" s="4" t="s">
        <v>258</v>
      </c>
      <c r="R206">
        <v>4146508</v>
      </c>
      <c r="AB206">
        <v>0</v>
      </c>
      <c r="AC206">
        <v>0</v>
      </c>
      <c r="AD206">
        <v>0</v>
      </c>
      <c r="AE206">
        <v>0</v>
      </c>
    </row>
    <row r="207" spans="7:31" x14ac:dyDescent="0.3">
      <c r="G207" s="4" t="s">
        <v>259</v>
      </c>
      <c r="H207">
        <v>2</v>
      </c>
      <c r="I207">
        <v>1</v>
      </c>
      <c r="N207" s="4" t="s">
        <v>259</v>
      </c>
      <c r="O207">
        <v>10</v>
      </c>
      <c r="Q207" s="4" t="s">
        <v>259</v>
      </c>
      <c r="R207">
        <v>2826473</v>
      </c>
      <c r="AB207">
        <v>0</v>
      </c>
      <c r="AC207">
        <v>0</v>
      </c>
      <c r="AD207">
        <v>0</v>
      </c>
      <c r="AE207">
        <v>0</v>
      </c>
    </row>
    <row r="208" spans="7:31" x14ac:dyDescent="0.3">
      <c r="G208" s="4" t="s">
        <v>260</v>
      </c>
      <c r="H208">
        <v>3</v>
      </c>
      <c r="I208">
        <v>0</v>
      </c>
      <c r="N208" s="4" t="s">
        <v>260</v>
      </c>
      <c r="O208">
        <v>0</v>
      </c>
      <c r="Q208" s="4" t="s">
        <v>260</v>
      </c>
      <c r="R208">
        <v>3769512</v>
      </c>
      <c r="AB208">
        <v>0</v>
      </c>
      <c r="AC208">
        <v>0</v>
      </c>
      <c r="AD208">
        <v>0</v>
      </c>
      <c r="AE208">
        <v>0</v>
      </c>
    </row>
    <row r="209" spans="7:31" x14ac:dyDescent="0.3">
      <c r="G209" s="4" t="s">
        <v>261</v>
      </c>
      <c r="H209">
        <v>0</v>
      </c>
      <c r="I209">
        <v>0</v>
      </c>
      <c r="N209" s="4" t="s">
        <v>261</v>
      </c>
      <c r="O209">
        <v>0</v>
      </c>
      <c r="Q209" s="4" t="s">
        <v>261</v>
      </c>
      <c r="R209">
        <v>5000001</v>
      </c>
      <c r="AB209">
        <v>0</v>
      </c>
      <c r="AC209">
        <v>0</v>
      </c>
      <c r="AD209">
        <v>0</v>
      </c>
      <c r="AE209">
        <v>0</v>
      </c>
    </row>
    <row r="210" spans="7:31" x14ac:dyDescent="0.3">
      <c r="G210" s="4" t="s">
        <v>262</v>
      </c>
      <c r="H210">
        <v>1</v>
      </c>
      <c r="I210">
        <v>0</v>
      </c>
      <c r="N210" s="4" t="s">
        <v>262</v>
      </c>
      <c r="O210">
        <v>0</v>
      </c>
      <c r="Q210" s="4" t="s">
        <v>262</v>
      </c>
      <c r="R210">
        <v>5000001</v>
      </c>
      <c r="AB210">
        <v>0</v>
      </c>
      <c r="AC210">
        <v>0</v>
      </c>
      <c r="AD210">
        <v>0</v>
      </c>
      <c r="AE210">
        <v>0</v>
      </c>
    </row>
    <row r="211" spans="7:31" x14ac:dyDescent="0.3">
      <c r="G211" s="4" t="s">
        <v>263</v>
      </c>
      <c r="H211">
        <v>0</v>
      </c>
      <c r="I211">
        <v>0</v>
      </c>
      <c r="N211" s="4" t="s">
        <v>263</v>
      </c>
      <c r="O211">
        <v>0</v>
      </c>
      <c r="Q211" s="4" t="s">
        <v>263</v>
      </c>
      <c r="R211">
        <v>5000001</v>
      </c>
      <c r="AB211">
        <v>0</v>
      </c>
      <c r="AC211">
        <v>0</v>
      </c>
      <c r="AD211">
        <v>0</v>
      </c>
      <c r="AE211">
        <v>0</v>
      </c>
    </row>
    <row r="212" spans="7:31" x14ac:dyDescent="0.3">
      <c r="G212" s="4" t="s">
        <v>264</v>
      </c>
      <c r="H212">
        <v>1</v>
      </c>
      <c r="I212">
        <v>0</v>
      </c>
      <c r="N212" s="4" t="s">
        <v>264</v>
      </c>
      <c r="O212">
        <v>54</v>
      </c>
      <c r="Q212" s="4" t="s">
        <v>264</v>
      </c>
      <c r="R212">
        <v>2783856</v>
      </c>
      <c r="AB212">
        <v>0</v>
      </c>
      <c r="AC212">
        <v>0</v>
      </c>
      <c r="AD212">
        <v>0</v>
      </c>
      <c r="AE212">
        <v>0</v>
      </c>
    </row>
    <row r="213" spans="7:31" x14ac:dyDescent="0.3">
      <c r="G213" s="4" t="s">
        <v>265</v>
      </c>
      <c r="H213">
        <v>0</v>
      </c>
      <c r="I213">
        <v>0</v>
      </c>
      <c r="N213" s="4" t="s">
        <v>265</v>
      </c>
      <c r="O213">
        <v>0</v>
      </c>
      <c r="Q213" s="4" t="s">
        <v>265</v>
      </c>
      <c r="R213">
        <v>5000001</v>
      </c>
      <c r="AB213">
        <v>0</v>
      </c>
      <c r="AC213">
        <v>0</v>
      </c>
      <c r="AD213">
        <v>0</v>
      </c>
      <c r="AE213">
        <v>0</v>
      </c>
    </row>
    <row r="214" spans="7:31" x14ac:dyDescent="0.3">
      <c r="G214" s="4" t="s">
        <v>266</v>
      </c>
      <c r="H214">
        <v>1</v>
      </c>
      <c r="I214">
        <v>0</v>
      </c>
      <c r="N214" s="4" t="s">
        <v>266</v>
      </c>
      <c r="O214">
        <v>0</v>
      </c>
      <c r="Q214" s="4" t="s">
        <v>266</v>
      </c>
      <c r="R214">
        <v>5000001</v>
      </c>
      <c r="AB214">
        <v>0</v>
      </c>
      <c r="AC214">
        <v>0</v>
      </c>
      <c r="AD214">
        <v>0</v>
      </c>
      <c r="AE214">
        <v>0</v>
      </c>
    </row>
    <row r="215" spans="7:31" x14ac:dyDescent="0.3">
      <c r="G215" s="4" t="s">
        <v>267</v>
      </c>
      <c r="H215">
        <v>0</v>
      </c>
      <c r="I215">
        <v>0</v>
      </c>
      <c r="N215" s="4" t="s">
        <v>267</v>
      </c>
      <c r="O215">
        <v>0</v>
      </c>
      <c r="Q215" s="4" t="s">
        <v>267</v>
      </c>
      <c r="R215">
        <v>5000001</v>
      </c>
      <c r="AB215">
        <v>0</v>
      </c>
      <c r="AC215">
        <v>0</v>
      </c>
      <c r="AD215">
        <v>0</v>
      </c>
      <c r="AE215">
        <v>0</v>
      </c>
    </row>
    <row r="216" spans="7:31" x14ac:dyDescent="0.3">
      <c r="G216" s="4" t="s">
        <v>268</v>
      </c>
      <c r="H216">
        <v>1</v>
      </c>
      <c r="I216">
        <v>0</v>
      </c>
      <c r="N216" s="4" t="s">
        <v>268</v>
      </c>
      <c r="O216">
        <v>0</v>
      </c>
      <c r="Q216" s="4" t="s">
        <v>268</v>
      </c>
      <c r="R216">
        <v>3214934</v>
      </c>
      <c r="AB216">
        <v>0</v>
      </c>
      <c r="AC216">
        <v>0</v>
      </c>
      <c r="AD216">
        <v>0</v>
      </c>
      <c r="AE216">
        <v>0</v>
      </c>
    </row>
    <row r="217" spans="7:31" x14ac:dyDescent="0.3">
      <c r="G217" s="4" t="s">
        <v>269</v>
      </c>
      <c r="H217">
        <v>0</v>
      </c>
      <c r="I217">
        <v>0</v>
      </c>
      <c r="N217" s="4" t="s">
        <v>269</v>
      </c>
      <c r="O217">
        <v>0</v>
      </c>
      <c r="Q217" s="4" t="s">
        <v>269</v>
      </c>
      <c r="R217">
        <v>5000001</v>
      </c>
      <c r="AB217">
        <v>0</v>
      </c>
      <c r="AC217">
        <v>0</v>
      </c>
      <c r="AD217">
        <v>0</v>
      </c>
      <c r="AE217">
        <v>0</v>
      </c>
    </row>
    <row r="218" spans="7:31" x14ac:dyDescent="0.3">
      <c r="G218" s="4" t="s">
        <v>270</v>
      </c>
      <c r="H218">
        <v>0</v>
      </c>
      <c r="I218">
        <v>0</v>
      </c>
      <c r="N218" s="4" t="s">
        <v>270</v>
      </c>
      <c r="O218">
        <v>0</v>
      </c>
      <c r="Q218" s="4" t="s">
        <v>270</v>
      </c>
      <c r="R218">
        <v>5000001</v>
      </c>
      <c r="AB218">
        <v>0</v>
      </c>
      <c r="AC218">
        <v>0</v>
      </c>
      <c r="AD218">
        <v>0</v>
      </c>
      <c r="AE218">
        <v>0</v>
      </c>
    </row>
    <row r="219" spans="7:31" x14ac:dyDescent="0.3">
      <c r="G219" s="4" t="s">
        <v>271</v>
      </c>
      <c r="H219">
        <v>0</v>
      </c>
      <c r="I219">
        <v>0</v>
      </c>
      <c r="N219" s="4" t="s">
        <v>271</v>
      </c>
      <c r="O219">
        <v>0</v>
      </c>
      <c r="Q219" s="4" t="s">
        <v>271</v>
      </c>
      <c r="R219">
        <v>5000001</v>
      </c>
      <c r="AB219">
        <v>0</v>
      </c>
      <c r="AC219">
        <v>0</v>
      </c>
      <c r="AD219">
        <v>0</v>
      </c>
      <c r="AE219">
        <v>0</v>
      </c>
    </row>
    <row r="220" spans="7:31" x14ac:dyDescent="0.3">
      <c r="G220" s="4" t="s">
        <v>272</v>
      </c>
      <c r="H220">
        <v>2</v>
      </c>
      <c r="I220">
        <v>1</v>
      </c>
      <c r="N220" s="4" t="s">
        <v>272</v>
      </c>
      <c r="O220">
        <v>8</v>
      </c>
      <c r="Q220" s="4" t="s">
        <v>272</v>
      </c>
      <c r="R220">
        <v>3153799</v>
      </c>
      <c r="AB220">
        <v>0</v>
      </c>
      <c r="AC220">
        <v>0</v>
      </c>
      <c r="AD220">
        <v>0</v>
      </c>
      <c r="AE220">
        <v>0</v>
      </c>
    </row>
    <row r="221" spans="7:31" x14ac:dyDescent="0.3">
      <c r="G221" s="4" t="s">
        <v>273</v>
      </c>
      <c r="H221">
        <v>1</v>
      </c>
      <c r="I221">
        <v>0</v>
      </c>
      <c r="N221" s="4" t="s">
        <v>273</v>
      </c>
      <c r="O221">
        <v>0</v>
      </c>
      <c r="Q221" s="4" t="s">
        <v>273</v>
      </c>
      <c r="R221">
        <v>5000001</v>
      </c>
      <c r="AB221">
        <v>0</v>
      </c>
      <c r="AC221">
        <v>0</v>
      </c>
      <c r="AD221">
        <v>0</v>
      </c>
      <c r="AE221">
        <v>0</v>
      </c>
    </row>
    <row r="222" spans="7:31" x14ac:dyDescent="0.3">
      <c r="G222" s="4" t="s">
        <v>274</v>
      </c>
      <c r="H222">
        <v>0</v>
      </c>
      <c r="I222">
        <v>0</v>
      </c>
      <c r="N222" s="4" t="s">
        <v>274</v>
      </c>
      <c r="O222">
        <v>0</v>
      </c>
      <c r="Q222" s="4" t="s">
        <v>274</v>
      </c>
      <c r="R222">
        <v>5000001</v>
      </c>
      <c r="AB222">
        <v>0</v>
      </c>
      <c r="AC222">
        <v>0</v>
      </c>
      <c r="AD222">
        <v>0</v>
      </c>
      <c r="AE222">
        <v>0</v>
      </c>
    </row>
    <row r="223" spans="7:31" x14ac:dyDescent="0.3">
      <c r="G223" s="4" t="s">
        <v>275</v>
      </c>
      <c r="H223">
        <v>0</v>
      </c>
      <c r="I223">
        <v>0</v>
      </c>
      <c r="N223" s="4" t="s">
        <v>275</v>
      </c>
      <c r="O223">
        <v>0</v>
      </c>
      <c r="Q223" s="4" t="s">
        <v>275</v>
      </c>
      <c r="R223">
        <v>5000001</v>
      </c>
      <c r="AB223">
        <v>0</v>
      </c>
      <c r="AC223">
        <v>0</v>
      </c>
      <c r="AD223">
        <v>0</v>
      </c>
      <c r="AE223">
        <v>0</v>
      </c>
    </row>
    <row r="224" spans="7:31" x14ac:dyDescent="0.3">
      <c r="G224" s="4" t="s">
        <v>276</v>
      </c>
      <c r="H224">
        <v>0</v>
      </c>
      <c r="I224">
        <v>0</v>
      </c>
      <c r="N224" s="4" t="s">
        <v>276</v>
      </c>
      <c r="O224">
        <v>0</v>
      </c>
      <c r="Q224" s="4" t="s">
        <v>276</v>
      </c>
      <c r="R224">
        <v>5000001</v>
      </c>
      <c r="AB224">
        <v>0</v>
      </c>
      <c r="AC224">
        <v>0</v>
      </c>
      <c r="AD224">
        <v>0</v>
      </c>
      <c r="AE224">
        <v>0</v>
      </c>
    </row>
    <row r="225" spans="7:31" x14ac:dyDescent="0.3">
      <c r="G225" s="4" t="s">
        <v>277</v>
      </c>
      <c r="H225">
        <v>0</v>
      </c>
      <c r="I225">
        <v>0</v>
      </c>
      <c r="N225" s="4" t="s">
        <v>277</v>
      </c>
      <c r="O225">
        <v>2</v>
      </c>
      <c r="Q225" s="4" t="s">
        <v>277</v>
      </c>
      <c r="R225">
        <v>5000001</v>
      </c>
      <c r="AB225">
        <v>0</v>
      </c>
      <c r="AC225">
        <v>0</v>
      </c>
      <c r="AD225">
        <v>0</v>
      </c>
      <c r="AE225">
        <v>0</v>
      </c>
    </row>
    <row r="226" spans="7:31" x14ac:dyDescent="0.3">
      <c r="G226" s="4" t="s">
        <v>278</v>
      </c>
      <c r="H226">
        <v>0</v>
      </c>
      <c r="I226">
        <v>0</v>
      </c>
      <c r="N226" s="4" t="s">
        <v>278</v>
      </c>
      <c r="O226">
        <v>0</v>
      </c>
      <c r="Q226" s="4" t="s">
        <v>278</v>
      </c>
      <c r="R226">
        <v>5000001</v>
      </c>
      <c r="AB226">
        <v>0</v>
      </c>
      <c r="AC226">
        <v>0</v>
      </c>
      <c r="AD226">
        <v>0</v>
      </c>
      <c r="AE226">
        <v>0</v>
      </c>
    </row>
    <row r="227" spans="7:31" x14ac:dyDescent="0.3">
      <c r="G227" s="4" t="s">
        <v>279</v>
      </c>
      <c r="H227">
        <v>1</v>
      </c>
      <c r="I227">
        <v>0</v>
      </c>
      <c r="N227" s="4" t="s">
        <v>279</v>
      </c>
      <c r="O227">
        <v>10</v>
      </c>
      <c r="Q227" s="4" t="s">
        <v>279</v>
      </c>
      <c r="R227">
        <v>5000001</v>
      </c>
      <c r="AB227">
        <v>0</v>
      </c>
      <c r="AC227">
        <v>0</v>
      </c>
      <c r="AD227">
        <v>0</v>
      </c>
      <c r="AE227">
        <v>0</v>
      </c>
    </row>
    <row r="228" spans="7:31" x14ac:dyDescent="0.3">
      <c r="G228" s="4" t="s">
        <v>280</v>
      </c>
      <c r="H228">
        <v>2</v>
      </c>
      <c r="I228">
        <v>0</v>
      </c>
      <c r="N228" s="4" t="s">
        <v>280</v>
      </c>
      <c r="O228">
        <v>0</v>
      </c>
      <c r="Q228" s="4" t="s">
        <v>280</v>
      </c>
      <c r="R228">
        <v>5000001</v>
      </c>
      <c r="AB228">
        <v>0</v>
      </c>
      <c r="AC228">
        <v>0</v>
      </c>
      <c r="AD228">
        <v>0</v>
      </c>
      <c r="AE228">
        <v>0</v>
      </c>
    </row>
    <row r="229" spans="7:31" x14ac:dyDescent="0.3">
      <c r="G229" s="4" t="s">
        <v>281</v>
      </c>
      <c r="H229">
        <v>0</v>
      </c>
      <c r="I229">
        <v>0</v>
      </c>
      <c r="N229" s="4" t="s">
        <v>281</v>
      </c>
      <c r="O229">
        <v>0</v>
      </c>
      <c r="Q229" s="4" t="s">
        <v>281</v>
      </c>
      <c r="R229">
        <v>5000001</v>
      </c>
      <c r="AB229">
        <v>0</v>
      </c>
      <c r="AC229">
        <v>0</v>
      </c>
      <c r="AD229">
        <v>0</v>
      </c>
      <c r="AE229">
        <v>0</v>
      </c>
    </row>
    <row r="230" spans="7:31" x14ac:dyDescent="0.3">
      <c r="G230" s="4" t="s">
        <v>282</v>
      </c>
      <c r="H230">
        <v>0</v>
      </c>
      <c r="I230">
        <v>0</v>
      </c>
      <c r="N230" s="4" t="s">
        <v>282</v>
      </c>
      <c r="O230">
        <v>0</v>
      </c>
      <c r="Q230" s="4" t="s">
        <v>282</v>
      </c>
      <c r="R230">
        <v>5000001</v>
      </c>
      <c r="AB230">
        <v>0</v>
      </c>
      <c r="AC230">
        <v>0</v>
      </c>
      <c r="AD230">
        <v>0</v>
      </c>
      <c r="AE230">
        <v>0</v>
      </c>
    </row>
    <row r="231" spans="7:31" x14ac:dyDescent="0.3">
      <c r="G231" s="4" t="s">
        <v>283</v>
      </c>
      <c r="H231">
        <v>4</v>
      </c>
      <c r="I231">
        <v>6</v>
      </c>
      <c r="N231" s="4" t="s">
        <v>283</v>
      </c>
      <c r="O231">
        <v>642</v>
      </c>
      <c r="Q231" s="4" t="s">
        <v>283</v>
      </c>
      <c r="R231">
        <v>544409</v>
      </c>
      <c r="AB231">
        <v>0</v>
      </c>
      <c r="AC231">
        <v>0</v>
      </c>
      <c r="AD231">
        <v>0</v>
      </c>
      <c r="AE231">
        <v>0</v>
      </c>
    </row>
    <row r="232" spans="7:31" x14ac:dyDescent="0.3">
      <c r="G232" s="4" t="s">
        <v>285</v>
      </c>
      <c r="H232">
        <v>0</v>
      </c>
      <c r="I232">
        <v>0</v>
      </c>
      <c r="N232" s="4" t="s">
        <v>285</v>
      </c>
      <c r="O232">
        <v>0</v>
      </c>
      <c r="Q232" s="4" t="s">
        <v>285</v>
      </c>
      <c r="R232">
        <v>5000001</v>
      </c>
      <c r="AB232">
        <v>0</v>
      </c>
      <c r="AC232">
        <v>0</v>
      </c>
      <c r="AD232">
        <v>0</v>
      </c>
      <c r="AE232">
        <v>0</v>
      </c>
    </row>
    <row r="233" spans="7:31" x14ac:dyDescent="0.3">
      <c r="G233" s="4" t="s">
        <v>286</v>
      </c>
      <c r="H233">
        <v>3</v>
      </c>
      <c r="I233">
        <v>2</v>
      </c>
      <c r="N233" s="4" t="s">
        <v>286</v>
      </c>
      <c r="O233">
        <v>4</v>
      </c>
      <c r="Q233" s="4" t="s">
        <v>286</v>
      </c>
      <c r="R233">
        <v>2786750</v>
      </c>
      <c r="AB233">
        <v>0</v>
      </c>
      <c r="AC233">
        <v>0</v>
      </c>
      <c r="AD233">
        <v>0</v>
      </c>
      <c r="AE233">
        <v>0</v>
      </c>
    </row>
    <row r="234" spans="7:31" x14ac:dyDescent="0.3">
      <c r="G234" s="4" t="s">
        <v>288</v>
      </c>
      <c r="H234">
        <v>3</v>
      </c>
      <c r="I234">
        <v>1</v>
      </c>
      <c r="N234" s="4" t="s">
        <v>288</v>
      </c>
      <c r="O234">
        <v>378</v>
      </c>
      <c r="Q234" s="4" t="s">
        <v>288</v>
      </c>
      <c r="R234">
        <v>3654870</v>
      </c>
      <c r="AB234">
        <v>0</v>
      </c>
      <c r="AC234">
        <v>0</v>
      </c>
      <c r="AD234">
        <v>0</v>
      </c>
      <c r="AE234">
        <v>0</v>
      </c>
    </row>
    <row r="235" spans="7:31" x14ac:dyDescent="0.3">
      <c r="G235" s="4" t="s">
        <v>290</v>
      </c>
      <c r="H235">
        <v>3</v>
      </c>
      <c r="I235">
        <v>1</v>
      </c>
      <c r="N235" s="4" t="s">
        <v>290</v>
      </c>
      <c r="O235">
        <v>20</v>
      </c>
      <c r="Q235" s="4" t="s">
        <v>290</v>
      </c>
      <c r="R235">
        <v>2677182</v>
      </c>
      <c r="AB235">
        <v>0</v>
      </c>
      <c r="AC235">
        <v>0</v>
      </c>
      <c r="AD235">
        <v>0</v>
      </c>
      <c r="AE235">
        <v>0</v>
      </c>
    </row>
    <row r="236" spans="7:31" x14ac:dyDescent="0.3">
      <c r="G236" s="4" t="s">
        <v>291</v>
      </c>
      <c r="H236">
        <v>4</v>
      </c>
      <c r="I236">
        <v>4</v>
      </c>
      <c r="N236" s="4" t="s">
        <v>291</v>
      </c>
      <c r="O236">
        <v>96</v>
      </c>
      <c r="Q236" s="4" t="s">
        <v>291</v>
      </c>
      <c r="R236">
        <v>912351</v>
      </c>
      <c r="AB236">
        <v>0</v>
      </c>
      <c r="AC236">
        <v>0</v>
      </c>
      <c r="AD236">
        <v>0</v>
      </c>
      <c r="AE236">
        <v>0</v>
      </c>
    </row>
    <row r="237" spans="7:31" x14ac:dyDescent="0.3">
      <c r="G237" s="4" t="s">
        <v>293</v>
      </c>
      <c r="H237">
        <v>0</v>
      </c>
      <c r="I237">
        <v>0</v>
      </c>
      <c r="N237" s="4" t="s">
        <v>293</v>
      </c>
      <c r="O237">
        <v>0</v>
      </c>
      <c r="Q237" s="4" t="s">
        <v>293</v>
      </c>
      <c r="R237">
        <v>5000001</v>
      </c>
      <c r="AB237">
        <v>0</v>
      </c>
      <c r="AC237">
        <v>0</v>
      </c>
      <c r="AD237">
        <v>0</v>
      </c>
      <c r="AE237">
        <v>0</v>
      </c>
    </row>
    <row r="238" spans="7:31" x14ac:dyDescent="0.3">
      <c r="G238" s="4" t="s">
        <v>294</v>
      </c>
      <c r="H238">
        <v>2</v>
      </c>
      <c r="I238">
        <v>2</v>
      </c>
      <c r="N238" s="4" t="s">
        <v>294</v>
      </c>
      <c r="O238">
        <v>54</v>
      </c>
      <c r="Q238" s="4" t="s">
        <v>294</v>
      </c>
      <c r="R238">
        <v>1835836</v>
      </c>
      <c r="AB238">
        <v>0</v>
      </c>
      <c r="AC238">
        <v>0</v>
      </c>
      <c r="AD238">
        <v>0</v>
      </c>
      <c r="AE238">
        <v>0</v>
      </c>
    </row>
    <row r="239" spans="7:31" x14ac:dyDescent="0.3">
      <c r="G239" s="4" t="s">
        <v>295</v>
      </c>
      <c r="H239">
        <v>3</v>
      </c>
      <c r="I239">
        <v>0</v>
      </c>
      <c r="N239" s="4" t="s">
        <v>295</v>
      </c>
      <c r="O239">
        <v>0</v>
      </c>
      <c r="Q239" s="4" t="s">
        <v>295</v>
      </c>
      <c r="R239">
        <v>5000001</v>
      </c>
      <c r="AB239">
        <v>0</v>
      </c>
      <c r="AC239">
        <v>0</v>
      </c>
      <c r="AD239">
        <v>0</v>
      </c>
      <c r="AE239">
        <v>0</v>
      </c>
    </row>
    <row r="240" spans="7:31" x14ac:dyDescent="0.3">
      <c r="G240" s="4" t="s">
        <v>296</v>
      </c>
      <c r="H240">
        <v>5</v>
      </c>
      <c r="I240">
        <v>2</v>
      </c>
      <c r="N240" s="4" t="s">
        <v>296</v>
      </c>
      <c r="O240">
        <v>151</v>
      </c>
      <c r="Q240" s="4" t="s">
        <v>296</v>
      </c>
      <c r="R240">
        <v>912280</v>
      </c>
      <c r="AB240">
        <v>0</v>
      </c>
      <c r="AC240">
        <v>0</v>
      </c>
      <c r="AD240">
        <v>0</v>
      </c>
      <c r="AE240">
        <v>0</v>
      </c>
    </row>
    <row r="241" spans="7:31" x14ac:dyDescent="0.3">
      <c r="G241" s="4" t="s">
        <v>297</v>
      </c>
      <c r="H241">
        <v>5</v>
      </c>
      <c r="I241">
        <v>2</v>
      </c>
      <c r="N241" s="4" t="s">
        <v>297</v>
      </c>
      <c r="O241">
        <v>0</v>
      </c>
      <c r="Q241" s="4" t="s">
        <v>297</v>
      </c>
      <c r="R241">
        <v>1103134</v>
      </c>
      <c r="AB241">
        <v>0</v>
      </c>
      <c r="AC241">
        <v>0</v>
      </c>
      <c r="AD241">
        <v>0</v>
      </c>
      <c r="AE241">
        <v>0</v>
      </c>
    </row>
    <row r="242" spans="7:31" x14ac:dyDescent="0.3">
      <c r="G242" s="4" t="s">
        <v>298</v>
      </c>
      <c r="H242">
        <v>6</v>
      </c>
      <c r="I242">
        <v>2</v>
      </c>
      <c r="N242" s="4" t="s">
        <v>298</v>
      </c>
      <c r="O242">
        <v>176</v>
      </c>
      <c r="Q242" s="4" t="s">
        <v>298</v>
      </c>
      <c r="R242">
        <v>993728</v>
      </c>
      <c r="AB242">
        <v>0</v>
      </c>
      <c r="AC242">
        <v>0</v>
      </c>
      <c r="AD242">
        <v>0</v>
      </c>
      <c r="AE242">
        <v>0</v>
      </c>
    </row>
    <row r="243" spans="7:31" x14ac:dyDescent="0.3">
      <c r="G243" s="4" t="s">
        <v>299</v>
      </c>
      <c r="H243">
        <v>4</v>
      </c>
      <c r="I243">
        <v>2</v>
      </c>
      <c r="N243" s="4" t="s">
        <v>299</v>
      </c>
      <c r="O243">
        <v>98</v>
      </c>
      <c r="Q243" s="4" t="s">
        <v>299</v>
      </c>
      <c r="R243">
        <v>912241</v>
      </c>
      <c r="AB243">
        <v>0</v>
      </c>
      <c r="AC243">
        <v>0</v>
      </c>
      <c r="AD243">
        <v>0</v>
      </c>
      <c r="AE243">
        <v>0</v>
      </c>
    </row>
    <row r="244" spans="7:31" x14ac:dyDescent="0.3">
      <c r="G244" s="4" t="s">
        <v>300</v>
      </c>
      <c r="H244">
        <v>0</v>
      </c>
      <c r="I244">
        <v>0</v>
      </c>
      <c r="N244" s="4" t="s">
        <v>300</v>
      </c>
      <c r="O244">
        <v>0</v>
      </c>
      <c r="Q244" s="4" t="s">
        <v>300</v>
      </c>
      <c r="R244">
        <v>5000001</v>
      </c>
      <c r="AB244">
        <v>0</v>
      </c>
      <c r="AC244">
        <v>0</v>
      </c>
      <c r="AD244">
        <v>0</v>
      </c>
      <c r="AE244">
        <v>0</v>
      </c>
    </row>
    <row r="245" spans="7:31" x14ac:dyDescent="0.3">
      <c r="G245" s="4" t="s">
        <v>301</v>
      </c>
      <c r="H245">
        <v>4</v>
      </c>
      <c r="I245">
        <v>0</v>
      </c>
      <c r="N245" s="4" t="s">
        <v>301</v>
      </c>
      <c r="O245">
        <v>0</v>
      </c>
      <c r="Q245" s="4" t="s">
        <v>301</v>
      </c>
      <c r="R245">
        <v>5000001</v>
      </c>
      <c r="AB245">
        <v>0</v>
      </c>
      <c r="AC245">
        <v>0</v>
      </c>
      <c r="AD245">
        <v>0</v>
      </c>
      <c r="AE245">
        <v>0</v>
      </c>
    </row>
    <row r="246" spans="7:31" x14ac:dyDescent="0.3">
      <c r="G246" s="4" t="s">
        <v>302</v>
      </c>
      <c r="H246">
        <v>1</v>
      </c>
      <c r="I246">
        <v>0</v>
      </c>
      <c r="N246" s="4" t="s">
        <v>302</v>
      </c>
      <c r="O246">
        <v>0</v>
      </c>
      <c r="Q246" s="4" t="s">
        <v>302</v>
      </c>
      <c r="R246">
        <v>5000001</v>
      </c>
      <c r="AB246">
        <v>0</v>
      </c>
      <c r="AC246">
        <v>0</v>
      </c>
      <c r="AD246">
        <v>0</v>
      </c>
      <c r="AE246">
        <v>0</v>
      </c>
    </row>
    <row r="247" spans="7:31" x14ac:dyDescent="0.3">
      <c r="G247" s="4" t="s">
        <v>303</v>
      </c>
      <c r="H247">
        <v>2</v>
      </c>
      <c r="I247">
        <v>2</v>
      </c>
      <c r="N247" s="4" t="s">
        <v>303</v>
      </c>
      <c r="O247">
        <v>0</v>
      </c>
      <c r="Q247" s="4" t="s">
        <v>303</v>
      </c>
      <c r="R247">
        <v>2063096</v>
      </c>
      <c r="AB247">
        <v>0</v>
      </c>
      <c r="AC247">
        <v>0</v>
      </c>
      <c r="AD247">
        <v>0</v>
      </c>
      <c r="AE247">
        <v>0</v>
      </c>
    </row>
    <row r="248" spans="7:31" x14ac:dyDescent="0.3">
      <c r="G248" s="4" t="s">
        <v>304</v>
      </c>
      <c r="H248">
        <v>2</v>
      </c>
      <c r="I248">
        <v>0</v>
      </c>
      <c r="N248" s="4" t="s">
        <v>304</v>
      </c>
      <c r="O248">
        <v>0</v>
      </c>
      <c r="Q248" s="4" t="s">
        <v>304</v>
      </c>
      <c r="R248">
        <v>3373127</v>
      </c>
      <c r="AB248">
        <v>0</v>
      </c>
      <c r="AC248">
        <v>0</v>
      </c>
      <c r="AD248">
        <v>0</v>
      </c>
      <c r="AE248">
        <v>0</v>
      </c>
    </row>
    <row r="249" spans="7:31" x14ac:dyDescent="0.3">
      <c r="G249" s="4" t="s">
        <v>305</v>
      </c>
      <c r="H249">
        <v>0</v>
      </c>
      <c r="I249">
        <v>0</v>
      </c>
      <c r="N249" s="4" t="s">
        <v>305</v>
      </c>
      <c r="O249">
        <v>0</v>
      </c>
      <c r="Q249" s="4" t="s">
        <v>305</v>
      </c>
      <c r="R249">
        <v>5000001</v>
      </c>
      <c r="AB249">
        <v>0</v>
      </c>
      <c r="AC249">
        <v>0</v>
      </c>
      <c r="AD249">
        <v>0</v>
      </c>
      <c r="AE249">
        <v>0</v>
      </c>
    </row>
    <row r="250" spans="7:31" x14ac:dyDescent="0.3">
      <c r="G250" s="4" t="s">
        <v>306</v>
      </c>
      <c r="H250">
        <v>0</v>
      </c>
      <c r="I250">
        <v>0</v>
      </c>
      <c r="N250" s="4" t="s">
        <v>306</v>
      </c>
      <c r="O250">
        <v>5</v>
      </c>
      <c r="Q250" s="4" t="s">
        <v>306</v>
      </c>
      <c r="R250">
        <v>5000001</v>
      </c>
      <c r="AB250">
        <v>0</v>
      </c>
      <c r="AC250">
        <v>0</v>
      </c>
      <c r="AD250">
        <v>0</v>
      </c>
      <c r="AE250">
        <v>0</v>
      </c>
    </row>
    <row r="251" spans="7:31" x14ac:dyDescent="0.3">
      <c r="G251" s="4" t="s">
        <v>307</v>
      </c>
      <c r="H251">
        <v>1</v>
      </c>
      <c r="I251">
        <v>0</v>
      </c>
      <c r="N251" s="4" t="s">
        <v>307</v>
      </c>
      <c r="O251">
        <v>0</v>
      </c>
      <c r="Q251" s="4" t="s">
        <v>307</v>
      </c>
      <c r="R251">
        <v>5000001</v>
      </c>
      <c r="AB251">
        <v>0</v>
      </c>
      <c r="AC251">
        <v>0</v>
      </c>
      <c r="AD251">
        <v>0</v>
      </c>
      <c r="AE251">
        <v>0</v>
      </c>
    </row>
    <row r="252" spans="7:31" x14ac:dyDescent="0.3">
      <c r="G252" s="4" t="s">
        <v>308</v>
      </c>
      <c r="H252">
        <v>1</v>
      </c>
      <c r="I252">
        <v>0</v>
      </c>
      <c r="N252" s="4" t="s">
        <v>308</v>
      </c>
      <c r="O252">
        <v>0</v>
      </c>
      <c r="Q252" s="4" t="s">
        <v>308</v>
      </c>
      <c r="R252">
        <v>5000001</v>
      </c>
      <c r="AB252">
        <v>0</v>
      </c>
      <c r="AC252">
        <v>0</v>
      </c>
      <c r="AD252">
        <v>0</v>
      </c>
      <c r="AE252">
        <v>0</v>
      </c>
    </row>
    <row r="253" spans="7:31" x14ac:dyDescent="0.3">
      <c r="G253" s="4" t="s">
        <v>309</v>
      </c>
      <c r="H253">
        <v>5</v>
      </c>
      <c r="I253">
        <v>2</v>
      </c>
      <c r="N253" s="4" t="s">
        <v>309</v>
      </c>
      <c r="O253">
        <v>226</v>
      </c>
      <c r="Q253" s="4" t="s">
        <v>309</v>
      </c>
      <c r="R253">
        <v>579846</v>
      </c>
      <c r="AB253">
        <v>0</v>
      </c>
      <c r="AC253">
        <v>0</v>
      </c>
      <c r="AD253">
        <v>0</v>
      </c>
      <c r="AE253">
        <v>0</v>
      </c>
    </row>
    <row r="254" spans="7:31" x14ac:dyDescent="0.3">
      <c r="G254" s="4" t="s">
        <v>310</v>
      </c>
      <c r="H254">
        <v>4</v>
      </c>
      <c r="I254">
        <v>2</v>
      </c>
      <c r="N254" s="4" t="s">
        <v>310</v>
      </c>
      <c r="O254">
        <v>26</v>
      </c>
      <c r="Q254" s="4" t="s">
        <v>310</v>
      </c>
      <c r="R254">
        <v>2830335</v>
      </c>
      <c r="AB254">
        <v>0</v>
      </c>
      <c r="AC254">
        <v>0</v>
      </c>
      <c r="AD254">
        <v>0</v>
      </c>
      <c r="AE254">
        <v>0</v>
      </c>
    </row>
    <row r="255" spans="7:31" x14ac:dyDescent="0.3">
      <c r="G255" s="4" t="s">
        <v>311</v>
      </c>
      <c r="H255">
        <v>3</v>
      </c>
      <c r="I255">
        <v>0</v>
      </c>
      <c r="N255" s="4" t="s">
        <v>311</v>
      </c>
      <c r="O255">
        <v>0</v>
      </c>
      <c r="Q255" s="4" t="s">
        <v>311</v>
      </c>
      <c r="R255">
        <v>3657143</v>
      </c>
      <c r="AB255">
        <v>0</v>
      </c>
      <c r="AC255">
        <v>0</v>
      </c>
      <c r="AD255">
        <v>0</v>
      </c>
      <c r="AE255">
        <v>0</v>
      </c>
    </row>
    <row r="256" spans="7:31" x14ac:dyDescent="0.3">
      <c r="G256" s="4" t="s">
        <v>312</v>
      </c>
      <c r="H256">
        <v>0</v>
      </c>
      <c r="I256">
        <v>0</v>
      </c>
      <c r="N256" s="4" t="s">
        <v>312</v>
      </c>
      <c r="O256">
        <v>0</v>
      </c>
      <c r="Q256" s="4" t="s">
        <v>312</v>
      </c>
      <c r="R256">
        <v>3893023</v>
      </c>
      <c r="AB256">
        <v>0</v>
      </c>
      <c r="AC256">
        <v>0</v>
      </c>
      <c r="AD256">
        <v>0</v>
      </c>
      <c r="AE256">
        <v>0</v>
      </c>
    </row>
    <row r="257" spans="7:31" x14ac:dyDescent="0.3">
      <c r="G257" s="4" t="s">
        <v>313</v>
      </c>
      <c r="H257">
        <v>1</v>
      </c>
      <c r="I257">
        <v>0</v>
      </c>
      <c r="N257" s="4" t="s">
        <v>313</v>
      </c>
      <c r="O257">
        <v>0</v>
      </c>
      <c r="Q257" s="4" t="s">
        <v>313</v>
      </c>
      <c r="R257">
        <v>5000001</v>
      </c>
      <c r="AB257">
        <v>0</v>
      </c>
      <c r="AC257">
        <v>0</v>
      </c>
      <c r="AD257">
        <v>0</v>
      </c>
      <c r="AE257">
        <v>0</v>
      </c>
    </row>
    <row r="258" spans="7:31" x14ac:dyDescent="0.3">
      <c r="G258" s="4" t="s">
        <v>314</v>
      </c>
      <c r="H258">
        <v>4</v>
      </c>
      <c r="I258">
        <v>0</v>
      </c>
      <c r="N258" s="4" t="s">
        <v>314</v>
      </c>
      <c r="O258">
        <v>7</v>
      </c>
      <c r="Q258" s="4" t="s">
        <v>314</v>
      </c>
      <c r="R258">
        <v>5000001</v>
      </c>
      <c r="AB258">
        <v>0</v>
      </c>
      <c r="AC258">
        <v>0</v>
      </c>
      <c r="AD258">
        <v>0</v>
      </c>
      <c r="AE258">
        <v>0</v>
      </c>
    </row>
    <row r="259" spans="7:31" x14ac:dyDescent="0.3">
      <c r="G259" s="4" t="s">
        <v>315</v>
      </c>
      <c r="H259">
        <v>1</v>
      </c>
      <c r="I259">
        <v>0</v>
      </c>
      <c r="N259" s="4" t="s">
        <v>315</v>
      </c>
      <c r="O259">
        <v>0</v>
      </c>
      <c r="Q259" s="4" t="s">
        <v>315</v>
      </c>
      <c r="R259">
        <v>5000001</v>
      </c>
      <c r="AB259">
        <v>0</v>
      </c>
      <c r="AC259">
        <v>0</v>
      </c>
      <c r="AD259">
        <v>0</v>
      </c>
      <c r="AE259">
        <v>0</v>
      </c>
    </row>
    <row r="260" spans="7:31" x14ac:dyDescent="0.3">
      <c r="G260" s="4" t="s">
        <v>316</v>
      </c>
      <c r="H260">
        <v>6</v>
      </c>
      <c r="I260">
        <v>2</v>
      </c>
      <c r="N260" s="4" t="s">
        <v>316</v>
      </c>
      <c r="O260">
        <v>763</v>
      </c>
      <c r="Q260" s="4" t="s">
        <v>316</v>
      </c>
      <c r="R260">
        <v>579812</v>
      </c>
      <c r="AB260">
        <v>0</v>
      </c>
      <c r="AC260">
        <v>0</v>
      </c>
      <c r="AD260">
        <v>0</v>
      </c>
      <c r="AE260">
        <v>0</v>
      </c>
    </row>
    <row r="261" spans="7:31" x14ac:dyDescent="0.3">
      <c r="G261" s="4" t="s">
        <v>317</v>
      </c>
      <c r="H261">
        <v>4</v>
      </c>
      <c r="I261">
        <v>0</v>
      </c>
      <c r="N261" s="4" t="s">
        <v>317</v>
      </c>
      <c r="O261">
        <v>14</v>
      </c>
      <c r="Q261" s="4" t="s">
        <v>317</v>
      </c>
      <c r="R261">
        <v>5000001</v>
      </c>
      <c r="AB261">
        <v>0</v>
      </c>
      <c r="AC261">
        <v>0</v>
      </c>
      <c r="AD261">
        <v>0</v>
      </c>
      <c r="AE261">
        <v>0</v>
      </c>
    </row>
    <row r="262" spans="7:31" x14ac:dyDescent="0.3">
      <c r="G262" s="4" t="s">
        <v>318</v>
      </c>
      <c r="H262">
        <v>2</v>
      </c>
      <c r="I262">
        <v>1</v>
      </c>
      <c r="N262" s="4" t="s">
        <v>318</v>
      </c>
      <c r="O262">
        <v>89</v>
      </c>
      <c r="Q262" s="4" t="s">
        <v>318</v>
      </c>
      <c r="R262">
        <v>1545688</v>
      </c>
      <c r="AB262">
        <v>0</v>
      </c>
      <c r="AC262">
        <v>0</v>
      </c>
      <c r="AD262">
        <v>0</v>
      </c>
      <c r="AE262">
        <v>0</v>
      </c>
    </row>
    <row r="263" spans="7:31" x14ac:dyDescent="0.3">
      <c r="G263" s="4" t="s">
        <v>319</v>
      </c>
      <c r="H263">
        <v>1</v>
      </c>
      <c r="I263">
        <v>0</v>
      </c>
      <c r="N263" s="4" t="s">
        <v>319</v>
      </c>
      <c r="O263">
        <v>0</v>
      </c>
      <c r="Q263" s="4" t="s">
        <v>319</v>
      </c>
      <c r="R263">
        <v>5000001</v>
      </c>
      <c r="AB263">
        <v>0</v>
      </c>
      <c r="AC263">
        <v>0</v>
      </c>
      <c r="AD263">
        <v>0</v>
      </c>
      <c r="AE263">
        <v>0</v>
      </c>
    </row>
    <row r="264" spans="7:31" x14ac:dyDescent="0.3">
      <c r="G264" s="4" t="s">
        <v>320</v>
      </c>
      <c r="H264">
        <v>2</v>
      </c>
      <c r="I264">
        <v>0</v>
      </c>
      <c r="N264" s="4" t="s">
        <v>320</v>
      </c>
      <c r="O264">
        <v>144</v>
      </c>
      <c r="Q264" s="4" t="s">
        <v>320</v>
      </c>
      <c r="R264">
        <v>3070030</v>
      </c>
      <c r="AB264">
        <v>0</v>
      </c>
      <c r="AC264">
        <v>0</v>
      </c>
      <c r="AD264">
        <v>0</v>
      </c>
      <c r="AE264">
        <v>0</v>
      </c>
    </row>
    <row r="265" spans="7:31" x14ac:dyDescent="0.3">
      <c r="G265" s="4" t="s">
        <v>321</v>
      </c>
      <c r="H265">
        <v>1</v>
      </c>
      <c r="I265">
        <v>0</v>
      </c>
      <c r="N265" s="4" t="s">
        <v>321</v>
      </c>
      <c r="O265">
        <v>1</v>
      </c>
      <c r="Q265" s="4" t="s">
        <v>321</v>
      </c>
      <c r="R265">
        <v>5000001</v>
      </c>
      <c r="AB265">
        <v>0</v>
      </c>
      <c r="AC265">
        <v>0</v>
      </c>
      <c r="AD265">
        <v>0</v>
      </c>
      <c r="AE265">
        <v>0</v>
      </c>
    </row>
    <row r="266" spans="7:31" x14ac:dyDescent="0.3">
      <c r="G266" s="4" t="s">
        <v>322</v>
      </c>
      <c r="H266">
        <v>2</v>
      </c>
      <c r="I266">
        <v>0</v>
      </c>
      <c r="N266" s="4" t="s">
        <v>322</v>
      </c>
      <c r="O266">
        <v>0</v>
      </c>
      <c r="Q266" s="4" t="s">
        <v>322</v>
      </c>
      <c r="R266">
        <v>4035691</v>
      </c>
      <c r="AB266">
        <v>0</v>
      </c>
      <c r="AC266">
        <v>0</v>
      </c>
      <c r="AD266">
        <v>0</v>
      </c>
      <c r="AE266">
        <v>0</v>
      </c>
    </row>
    <row r="267" spans="7:31" x14ac:dyDescent="0.3">
      <c r="G267" s="4" t="s">
        <v>323</v>
      </c>
      <c r="H267">
        <v>0</v>
      </c>
      <c r="I267">
        <v>0</v>
      </c>
      <c r="N267" s="4" t="s">
        <v>323</v>
      </c>
      <c r="O267">
        <v>1</v>
      </c>
      <c r="Q267" s="4" t="s">
        <v>323</v>
      </c>
      <c r="R267">
        <v>5000001</v>
      </c>
      <c r="AB267">
        <v>0</v>
      </c>
      <c r="AC267">
        <v>0</v>
      </c>
      <c r="AD267">
        <v>0</v>
      </c>
      <c r="AE267">
        <v>0</v>
      </c>
    </row>
    <row r="268" spans="7:31" x14ac:dyDescent="0.3">
      <c r="G268" s="4" t="s">
        <v>324</v>
      </c>
      <c r="H268">
        <v>2</v>
      </c>
      <c r="I268">
        <v>0</v>
      </c>
      <c r="N268" s="4" t="s">
        <v>324</v>
      </c>
      <c r="O268">
        <v>388</v>
      </c>
      <c r="Q268" s="4" t="s">
        <v>324</v>
      </c>
      <c r="R268">
        <v>2342782</v>
      </c>
      <c r="AB268">
        <v>0</v>
      </c>
      <c r="AC268">
        <v>0</v>
      </c>
      <c r="AD268">
        <v>0</v>
      </c>
      <c r="AE268">
        <v>0</v>
      </c>
    </row>
    <row r="269" spans="7:31" x14ac:dyDescent="0.3">
      <c r="G269" s="4" t="s">
        <v>325</v>
      </c>
      <c r="H269">
        <v>6</v>
      </c>
      <c r="I269">
        <v>7</v>
      </c>
      <c r="N269" s="4" t="s">
        <v>325</v>
      </c>
      <c r="O269">
        <v>266</v>
      </c>
      <c r="Q269" s="4" t="s">
        <v>325</v>
      </c>
      <c r="R269">
        <v>688071</v>
      </c>
      <c r="AB269">
        <v>0</v>
      </c>
      <c r="AC269">
        <v>0</v>
      </c>
      <c r="AD269">
        <v>0</v>
      </c>
      <c r="AE269">
        <v>0</v>
      </c>
    </row>
    <row r="270" spans="7:31" x14ac:dyDescent="0.3">
      <c r="G270" s="4" t="s">
        <v>327</v>
      </c>
      <c r="H270">
        <v>1</v>
      </c>
      <c r="I270">
        <v>0</v>
      </c>
      <c r="N270" s="4" t="s">
        <v>327</v>
      </c>
      <c r="O270">
        <v>0</v>
      </c>
      <c r="Q270" s="4" t="s">
        <v>327</v>
      </c>
      <c r="R270">
        <v>5000001</v>
      </c>
      <c r="AB270">
        <v>0</v>
      </c>
      <c r="AC270">
        <v>0</v>
      </c>
      <c r="AD270">
        <v>0</v>
      </c>
      <c r="AE270">
        <v>0</v>
      </c>
    </row>
    <row r="271" spans="7:31" x14ac:dyDescent="0.3">
      <c r="G271" s="4" t="s">
        <v>328</v>
      </c>
      <c r="H271">
        <v>3</v>
      </c>
      <c r="I271">
        <v>1</v>
      </c>
      <c r="N271" s="4" t="s">
        <v>328</v>
      </c>
      <c r="O271">
        <v>210</v>
      </c>
      <c r="Q271" s="4" t="s">
        <v>328</v>
      </c>
      <c r="R271">
        <v>351725</v>
      </c>
      <c r="AB271">
        <v>0</v>
      </c>
      <c r="AC271">
        <v>0</v>
      </c>
      <c r="AD271">
        <v>0</v>
      </c>
      <c r="AE271">
        <v>0</v>
      </c>
    </row>
    <row r="272" spans="7:31" x14ac:dyDescent="0.3">
      <c r="G272" s="4" t="s">
        <v>329</v>
      </c>
      <c r="H272">
        <v>3</v>
      </c>
      <c r="I272">
        <v>1</v>
      </c>
      <c r="N272" s="4" t="s">
        <v>329</v>
      </c>
      <c r="O272">
        <v>290</v>
      </c>
      <c r="Q272" s="4" t="s">
        <v>329</v>
      </c>
      <c r="R272">
        <v>774844</v>
      </c>
      <c r="AB272">
        <v>0</v>
      </c>
      <c r="AC272">
        <v>0</v>
      </c>
      <c r="AD272">
        <v>0</v>
      </c>
      <c r="AE272">
        <v>0</v>
      </c>
    </row>
    <row r="273" spans="7:31" x14ac:dyDescent="0.3">
      <c r="G273" s="4" t="s">
        <v>330</v>
      </c>
      <c r="H273">
        <v>1</v>
      </c>
      <c r="I273">
        <v>0</v>
      </c>
      <c r="N273" s="4" t="s">
        <v>330</v>
      </c>
      <c r="O273">
        <v>3</v>
      </c>
      <c r="Q273" s="4" t="s">
        <v>330</v>
      </c>
      <c r="R273">
        <v>5000001</v>
      </c>
      <c r="AB273">
        <v>0</v>
      </c>
      <c r="AC273">
        <v>0</v>
      </c>
      <c r="AD273">
        <v>0</v>
      </c>
      <c r="AE273">
        <v>0</v>
      </c>
    </row>
    <row r="274" spans="7:31" x14ac:dyDescent="0.3">
      <c r="G274" s="4" t="s">
        <v>331</v>
      </c>
      <c r="H274">
        <v>1</v>
      </c>
      <c r="I274">
        <v>2</v>
      </c>
      <c r="N274" s="4" t="s">
        <v>331</v>
      </c>
      <c r="O274">
        <v>5</v>
      </c>
      <c r="Q274" s="4" t="s">
        <v>331</v>
      </c>
      <c r="R274">
        <v>5000001</v>
      </c>
      <c r="AB274">
        <v>0</v>
      </c>
      <c r="AC274">
        <v>0</v>
      </c>
      <c r="AD274">
        <v>0</v>
      </c>
      <c r="AE274">
        <v>0</v>
      </c>
    </row>
    <row r="275" spans="7:31" x14ac:dyDescent="0.3">
      <c r="G275" s="4" t="s">
        <v>333</v>
      </c>
      <c r="H275">
        <v>3</v>
      </c>
      <c r="I275">
        <v>3</v>
      </c>
      <c r="N275" s="4" t="s">
        <v>333</v>
      </c>
      <c r="O275">
        <v>0</v>
      </c>
      <c r="Q275" s="4" t="s">
        <v>333</v>
      </c>
      <c r="R275">
        <v>3214069</v>
      </c>
      <c r="AB275">
        <v>0</v>
      </c>
      <c r="AC275">
        <v>0</v>
      </c>
      <c r="AD275">
        <v>0</v>
      </c>
      <c r="AE275">
        <v>0</v>
      </c>
    </row>
    <row r="276" spans="7:31" x14ac:dyDescent="0.3">
      <c r="G276" s="4" t="s">
        <v>335</v>
      </c>
      <c r="H276">
        <v>3</v>
      </c>
      <c r="I276">
        <v>1</v>
      </c>
      <c r="N276" s="4" t="s">
        <v>335</v>
      </c>
      <c r="O276">
        <v>108</v>
      </c>
      <c r="Q276" s="4" t="s">
        <v>335</v>
      </c>
      <c r="R276">
        <v>1112372</v>
      </c>
      <c r="AB276">
        <v>0</v>
      </c>
      <c r="AC276">
        <v>0</v>
      </c>
      <c r="AD276">
        <v>0</v>
      </c>
      <c r="AE276">
        <v>0</v>
      </c>
    </row>
    <row r="277" spans="7:31" x14ac:dyDescent="0.3">
      <c r="G277" s="4" t="s">
        <v>336</v>
      </c>
      <c r="H277">
        <v>5</v>
      </c>
      <c r="I277">
        <v>0</v>
      </c>
      <c r="N277" s="4" t="s">
        <v>336</v>
      </c>
      <c r="O277">
        <v>283</v>
      </c>
      <c r="Q277" s="4" t="s">
        <v>336</v>
      </c>
      <c r="R277">
        <v>951853</v>
      </c>
      <c r="AB277">
        <v>0</v>
      </c>
      <c r="AC277">
        <v>0</v>
      </c>
      <c r="AD277">
        <v>0</v>
      </c>
      <c r="AE277">
        <v>0</v>
      </c>
    </row>
    <row r="278" spans="7:31" x14ac:dyDescent="0.3">
      <c r="G278" s="4" t="s">
        <v>337</v>
      </c>
      <c r="H278">
        <v>3</v>
      </c>
      <c r="I278">
        <v>0</v>
      </c>
      <c r="N278" s="4" t="s">
        <v>337</v>
      </c>
      <c r="O278">
        <v>2</v>
      </c>
      <c r="Q278" s="4" t="s">
        <v>337</v>
      </c>
      <c r="R278">
        <v>1516353</v>
      </c>
      <c r="AB278">
        <v>0</v>
      </c>
      <c r="AC278">
        <v>0</v>
      </c>
      <c r="AD278">
        <v>0</v>
      </c>
      <c r="AE278">
        <v>0</v>
      </c>
    </row>
    <row r="279" spans="7:31" x14ac:dyDescent="0.3">
      <c r="G279" s="4" t="s">
        <v>338</v>
      </c>
      <c r="H279">
        <v>4</v>
      </c>
      <c r="I279">
        <v>1</v>
      </c>
      <c r="N279" s="4" t="s">
        <v>338</v>
      </c>
      <c r="O279">
        <v>60</v>
      </c>
      <c r="Q279" s="4" t="s">
        <v>338</v>
      </c>
      <c r="R279">
        <v>2496175</v>
      </c>
      <c r="AB279">
        <v>0</v>
      </c>
      <c r="AC279">
        <v>0</v>
      </c>
      <c r="AD279">
        <v>0</v>
      </c>
      <c r="AE279">
        <v>0</v>
      </c>
    </row>
    <row r="280" spans="7:31" x14ac:dyDescent="0.3">
      <c r="G280" s="4" t="s">
        <v>340</v>
      </c>
      <c r="H280">
        <v>2</v>
      </c>
      <c r="I280">
        <v>2</v>
      </c>
      <c r="N280" s="4" t="s">
        <v>340</v>
      </c>
      <c r="O280">
        <v>0</v>
      </c>
      <c r="Q280" s="4" t="s">
        <v>340</v>
      </c>
      <c r="R280">
        <v>2731933</v>
      </c>
      <c r="AB280">
        <v>0</v>
      </c>
      <c r="AC280">
        <v>0</v>
      </c>
      <c r="AD280">
        <v>0</v>
      </c>
      <c r="AE280">
        <v>0</v>
      </c>
    </row>
    <row r="281" spans="7:31" x14ac:dyDescent="0.3">
      <c r="G281" s="4" t="s">
        <v>341</v>
      </c>
      <c r="H281">
        <v>1</v>
      </c>
      <c r="I281">
        <v>0</v>
      </c>
      <c r="N281" s="4" t="s">
        <v>341</v>
      </c>
      <c r="O281">
        <v>0</v>
      </c>
      <c r="Q281" s="4" t="s">
        <v>341</v>
      </c>
      <c r="R281">
        <v>5000001</v>
      </c>
      <c r="AB281">
        <v>0</v>
      </c>
      <c r="AC281">
        <v>0</v>
      </c>
      <c r="AD281">
        <v>0</v>
      </c>
      <c r="AE281">
        <v>0</v>
      </c>
    </row>
    <row r="282" spans="7:31" x14ac:dyDescent="0.3">
      <c r="G282" s="4" t="s">
        <v>342</v>
      </c>
      <c r="H282">
        <v>0</v>
      </c>
      <c r="I282">
        <v>0</v>
      </c>
      <c r="N282" s="4" t="s">
        <v>342</v>
      </c>
      <c r="O282">
        <v>0</v>
      </c>
      <c r="Q282" s="4" t="s">
        <v>342</v>
      </c>
      <c r="R282">
        <v>5000001</v>
      </c>
      <c r="AB282">
        <v>0</v>
      </c>
      <c r="AC282">
        <v>0</v>
      </c>
      <c r="AD282">
        <v>0</v>
      </c>
      <c r="AE282">
        <v>0</v>
      </c>
    </row>
    <row r="283" spans="7:31" x14ac:dyDescent="0.3">
      <c r="G283" s="4" t="s">
        <v>343</v>
      </c>
      <c r="H283">
        <v>4</v>
      </c>
      <c r="I283">
        <v>0</v>
      </c>
      <c r="N283" s="4" t="s">
        <v>343</v>
      </c>
      <c r="O283">
        <v>0</v>
      </c>
      <c r="Q283" s="4" t="s">
        <v>343</v>
      </c>
      <c r="R283">
        <v>5000001</v>
      </c>
      <c r="AB283">
        <v>0</v>
      </c>
      <c r="AC283">
        <v>0</v>
      </c>
      <c r="AD283">
        <v>0</v>
      </c>
      <c r="AE283">
        <v>0</v>
      </c>
    </row>
    <row r="284" spans="7:31" x14ac:dyDescent="0.3">
      <c r="G284" s="4" t="s">
        <v>344</v>
      </c>
      <c r="H284">
        <v>5</v>
      </c>
      <c r="I284">
        <v>0</v>
      </c>
      <c r="N284" s="4" t="s">
        <v>344</v>
      </c>
      <c r="O284">
        <v>294</v>
      </c>
      <c r="Q284" s="4" t="s">
        <v>344</v>
      </c>
      <c r="R284">
        <v>3463071</v>
      </c>
      <c r="AB284">
        <v>0</v>
      </c>
      <c r="AC284">
        <v>0</v>
      </c>
      <c r="AD284">
        <v>0</v>
      </c>
      <c r="AE284">
        <v>0</v>
      </c>
    </row>
    <row r="285" spans="7:31" x14ac:dyDescent="0.3">
      <c r="G285" s="4" t="s">
        <v>345</v>
      </c>
      <c r="H285">
        <v>3</v>
      </c>
      <c r="I285">
        <v>0</v>
      </c>
      <c r="N285" s="4" t="s">
        <v>345</v>
      </c>
      <c r="O285">
        <v>262</v>
      </c>
      <c r="Q285" s="4" t="s">
        <v>345</v>
      </c>
      <c r="R285">
        <v>4656435</v>
      </c>
      <c r="AB285">
        <v>0</v>
      </c>
      <c r="AC285">
        <v>0</v>
      </c>
      <c r="AD285">
        <v>0</v>
      </c>
      <c r="AE285">
        <v>0</v>
      </c>
    </row>
    <row r="286" spans="7:31" x14ac:dyDescent="0.3">
      <c r="G286" s="4" t="s">
        <v>346</v>
      </c>
      <c r="H286">
        <v>1</v>
      </c>
      <c r="I286">
        <v>0</v>
      </c>
      <c r="N286" s="4" t="s">
        <v>346</v>
      </c>
      <c r="O286">
        <v>2</v>
      </c>
      <c r="Q286" s="4" t="s">
        <v>346</v>
      </c>
      <c r="R286">
        <v>4859900</v>
      </c>
      <c r="AB286">
        <v>0</v>
      </c>
      <c r="AC286">
        <v>0</v>
      </c>
      <c r="AD286">
        <v>0</v>
      </c>
      <c r="AE286">
        <v>0</v>
      </c>
    </row>
    <row r="287" spans="7:31" x14ac:dyDescent="0.3">
      <c r="G287" s="4" t="s">
        <v>347</v>
      </c>
      <c r="H287">
        <v>1</v>
      </c>
      <c r="I287">
        <v>0</v>
      </c>
      <c r="N287" s="4" t="s">
        <v>347</v>
      </c>
      <c r="O287">
        <v>0</v>
      </c>
      <c r="Q287" s="4" t="s">
        <v>347</v>
      </c>
      <c r="R287">
        <v>5000001</v>
      </c>
      <c r="AB287">
        <v>0</v>
      </c>
      <c r="AC287">
        <v>0</v>
      </c>
      <c r="AD287">
        <v>0</v>
      </c>
      <c r="AE287">
        <v>0</v>
      </c>
    </row>
    <row r="288" spans="7:31" x14ac:dyDescent="0.3">
      <c r="G288" s="4" t="s">
        <v>348</v>
      </c>
      <c r="H288">
        <v>3</v>
      </c>
      <c r="I288">
        <v>2</v>
      </c>
      <c r="N288" s="4" t="s">
        <v>348</v>
      </c>
      <c r="O288">
        <v>295</v>
      </c>
      <c r="Q288" s="4" t="s">
        <v>348</v>
      </c>
      <c r="R288">
        <v>566420</v>
      </c>
      <c r="AB288">
        <v>0</v>
      </c>
      <c r="AC288">
        <v>0</v>
      </c>
      <c r="AD288">
        <v>0</v>
      </c>
      <c r="AE288">
        <v>0</v>
      </c>
    </row>
    <row r="289" spans="7:31" x14ac:dyDescent="0.3">
      <c r="G289" s="4" t="s">
        <v>349</v>
      </c>
      <c r="H289">
        <v>0</v>
      </c>
      <c r="I289">
        <v>0</v>
      </c>
      <c r="N289" s="4" t="s">
        <v>349</v>
      </c>
      <c r="O289">
        <v>0</v>
      </c>
      <c r="Q289" s="4" t="s">
        <v>349</v>
      </c>
      <c r="R289">
        <v>5000001</v>
      </c>
      <c r="AB289">
        <v>0</v>
      </c>
      <c r="AC289">
        <v>0</v>
      </c>
      <c r="AD289">
        <v>0</v>
      </c>
      <c r="AE289">
        <v>0</v>
      </c>
    </row>
    <row r="290" spans="7:31" x14ac:dyDescent="0.3">
      <c r="G290" s="4" t="s">
        <v>350</v>
      </c>
      <c r="H290">
        <v>0</v>
      </c>
      <c r="I290">
        <v>0</v>
      </c>
      <c r="N290" s="4" t="s">
        <v>350</v>
      </c>
      <c r="O290">
        <v>0</v>
      </c>
      <c r="Q290" s="4" t="s">
        <v>350</v>
      </c>
      <c r="R290">
        <v>5000001</v>
      </c>
      <c r="AB290">
        <v>0</v>
      </c>
      <c r="AC290">
        <v>0</v>
      </c>
      <c r="AD290">
        <v>0</v>
      </c>
      <c r="AE290">
        <v>0</v>
      </c>
    </row>
    <row r="291" spans="7:31" x14ac:dyDescent="0.3">
      <c r="G291" s="4" t="s">
        <v>351</v>
      </c>
      <c r="H291">
        <v>1</v>
      </c>
      <c r="I291">
        <v>0</v>
      </c>
      <c r="N291" s="4" t="s">
        <v>351</v>
      </c>
      <c r="O291">
        <v>0</v>
      </c>
      <c r="Q291" s="4" t="s">
        <v>351</v>
      </c>
      <c r="R291">
        <v>5000001</v>
      </c>
      <c r="AB291">
        <v>0</v>
      </c>
      <c r="AC291">
        <v>0</v>
      </c>
      <c r="AD291">
        <v>0</v>
      </c>
      <c r="AE291">
        <v>0</v>
      </c>
    </row>
    <row r="292" spans="7:31" x14ac:dyDescent="0.3">
      <c r="G292" s="4" t="s">
        <v>352</v>
      </c>
      <c r="H292">
        <v>3</v>
      </c>
      <c r="I292">
        <v>1</v>
      </c>
      <c r="N292" s="4" t="s">
        <v>352</v>
      </c>
      <c r="O292">
        <v>0</v>
      </c>
      <c r="Q292" s="4" t="s">
        <v>352</v>
      </c>
      <c r="R292">
        <v>5000001</v>
      </c>
      <c r="AB292">
        <v>0</v>
      </c>
      <c r="AC292">
        <v>0</v>
      </c>
      <c r="AD292">
        <v>0</v>
      </c>
      <c r="AE292">
        <v>0</v>
      </c>
    </row>
    <row r="293" spans="7:31" x14ac:dyDescent="0.3">
      <c r="G293" s="4" t="s">
        <v>353</v>
      </c>
      <c r="H293">
        <v>0</v>
      </c>
      <c r="I293">
        <v>0</v>
      </c>
      <c r="N293" s="4" t="s">
        <v>353</v>
      </c>
      <c r="O293">
        <v>0</v>
      </c>
      <c r="Q293" s="4" t="s">
        <v>353</v>
      </c>
      <c r="R293">
        <v>5000001</v>
      </c>
      <c r="AB293">
        <v>0</v>
      </c>
      <c r="AC293">
        <v>0</v>
      </c>
      <c r="AD293">
        <v>0</v>
      </c>
      <c r="AE293">
        <v>0</v>
      </c>
    </row>
    <row r="294" spans="7:31" x14ac:dyDescent="0.3">
      <c r="G294" s="4" t="s">
        <v>354</v>
      </c>
      <c r="H294">
        <v>0</v>
      </c>
      <c r="I294">
        <v>0</v>
      </c>
      <c r="N294" s="4" t="s">
        <v>354</v>
      </c>
      <c r="O294">
        <v>0</v>
      </c>
      <c r="Q294" s="4" t="s">
        <v>354</v>
      </c>
      <c r="R294">
        <v>5000001</v>
      </c>
      <c r="AB294">
        <v>0</v>
      </c>
      <c r="AC294">
        <v>0</v>
      </c>
      <c r="AD294">
        <v>0</v>
      </c>
      <c r="AE294">
        <v>0</v>
      </c>
    </row>
    <row r="295" spans="7:31" x14ac:dyDescent="0.3">
      <c r="G295" s="4" t="s">
        <v>355</v>
      </c>
      <c r="H295">
        <v>0</v>
      </c>
      <c r="I295">
        <v>0</v>
      </c>
      <c r="N295" s="4" t="s">
        <v>355</v>
      </c>
      <c r="O295">
        <v>0</v>
      </c>
      <c r="Q295" s="4" t="s">
        <v>355</v>
      </c>
      <c r="R295">
        <v>5000001</v>
      </c>
      <c r="AB295">
        <v>0</v>
      </c>
      <c r="AC295">
        <v>0</v>
      </c>
      <c r="AD295">
        <v>0</v>
      </c>
      <c r="AE295">
        <v>0</v>
      </c>
    </row>
    <row r="296" spans="7:31" x14ac:dyDescent="0.3">
      <c r="G296" s="4" t="s">
        <v>356</v>
      </c>
      <c r="H296">
        <v>1</v>
      </c>
      <c r="I296">
        <v>1</v>
      </c>
      <c r="N296" s="4" t="s">
        <v>356</v>
      </c>
      <c r="O296">
        <v>0</v>
      </c>
      <c r="Q296" s="4" t="s">
        <v>356</v>
      </c>
      <c r="R296">
        <v>1775200</v>
      </c>
      <c r="AB296">
        <v>0</v>
      </c>
      <c r="AC296">
        <v>0</v>
      </c>
      <c r="AD296">
        <v>0</v>
      </c>
      <c r="AE296">
        <v>0</v>
      </c>
    </row>
    <row r="297" spans="7:31" x14ac:dyDescent="0.3">
      <c r="G297" s="4" t="s">
        <v>357</v>
      </c>
      <c r="H297">
        <v>1</v>
      </c>
      <c r="I297">
        <v>1</v>
      </c>
      <c r="N297" s="4" t="s">
        <v>357</v>
      </c>
      <c r="O297">
        <v>0</v>
      </c>
      <c r="Q297" s="4" t="s">
        <v>357</v>
      </c>
      <c r="R297">
        <v>5000001</v>
      </c>
      <c r="AB297">
        <v>0</v>
      </c>
      <c r="AC297">
        <v>0</v>
      </c>
      <c r="AD297">
        <v>0</v>
      </c>
      <c r="AE297">
        <v>0</v>
      </c>
    </row>
    <row r="298" spans="7:31" x14ac:dyDescent="0.3">
      <c r="G298" s="4" t="s">
        <v>358</v>
      </c>
      <c r="H298">
        <v>0</v>
      </c>
      <c r="I298">
        <v>0</v>
      </c>
      <c r="N298" s="4" t="s">
        <v>358</v>
      </c>
      <c r="O298">
        <v>0</v>
      </c>
      <c r="Q298" s="4" t="s">
        <v>358</v>
      </c>
      <c r="R298">
        <v>5000001</v>
      </c>
      <c r="AB298">
        <v>0</v>
      </c>
      <c r="AC298">
        <v>0</v>
      </c>
      <c r="AD298">
        <v>0</v>
      </c>
      <c r="AE298">
        <v>0</v>
      </c>
    </row>
    <row r="299" spans="7:31" x14ac:dyDescent="0.3">
      <c r="G299" s="4" t="s">
        <v>359</v>
      </c>
      <c r="H299">
        <v>4</v>
      </c>
      <c r="I299">
        <v>2</v>
      </c>
      <c r="N299" s="4" t="s">
        <v>359</v>
      </c>
      <c r="O299">
        <v>0</v>
      </c>
      <c r="Q299" s="4" t="s">
        <v>359</v>
      </c>
      <c r="R299">
        <v>2208799</v>
      </c>
      <c r="AB299">
        <v>0</v>
      </c>
      <c r="AC299">
        <v>0</v>
      </c>
      <c r="AD299">
        <v>0</v>
      </c>
      <c r="AE299">
        <v>0</v>
      </c>
    </row>
    <row r="300" spans="7:31" x14ac:dyDescent="0.3">
      <c r="G300" s="4" t="s">
        <v>360</v>
      </c>
      <c r="H300">
        <v>1</v>
      </c>
      <c r="I300">
        <v>0</v>
      </c>
      <c r="N300" s="4" t="s">
        <v>360</v>
      </c>
      <c r="O300">
        <v>15</v>
      </c>
      <c r="Q300" s="4" t="s">
        <v>360</v>
      </c>
      <c r="R300">
        <v>5000001</v>
      </c>
      <c r="AB300">
        <v>0</v>
      </c>
      <c r="AC300">
        <v>0</v>
      </c>
      <c r="AD300">
        <v>0</v>
      </c>
      <c r="AE300">
        <v>0</v>
      </c>
    </row>
    <row r="301" spans="7:31" x14ac:dyDescent="0.3">
      <c r="G301" s="4" t="s">
        <v>361</v>
      </c>
      <c r="H301">
        <v>1</v>
      </c>
      <c r="I301">
        <v>0</v>
      </c>
      <c r="N301" s="4" t="s">
        <v>361</v>
      </c>
      <c r="O301">
        <v>0</v>
      </c>
      <c r="Q301" s="4" t="s">
        <v>361</v>
      </c>
      <c r="R301">
        <v>2500747</v>
      </c>
      <c r="AB301">
        <v>0</v>
      </c>
      <c r="AC301">
        <v>0</v>
      </c>
      <c r="AD301">
        <v>0</v>
      </c>
      <c r="AE301">
        <v>0</v>
      </c>
    </row>
    <row r="302" spans="7:31" x14ac:dyDescent="0.3">
      <c r="G302" s="4" t="s">
        <v>362</v>
      </c>
      <c r="H302">
        <v>5</v>
      </c>
      <c r="I302">
        <v>4</v>
      </c>
      <c r="N302" s="4" t="s">
        <v>362</v>
      </c>
      <c r="O302">
        <v>371</v>
      </c>
      <c r="Q302" s="4" t="s">
        <v>362</v>
      </c>
      <c r="R302">
        <v>912242</v>
      </c>
      <c r="AB302">
        <v>0</v>
      </c>
      <c r="AC302">
        <v>0</v>
      </c>
      <c r="AD302">
        <v>0</v>
      </c>
      <c r="AE302">
        <v>0</v>
      </c>
    </row>
    <row r="303" spans="7:31" x14ac:dyDescent="0.3">
      <c r="G303" s="4" t="s">
        <v>364</v>
      </c>
      <c r="H303">
        <v>0</v>
      </c>
      <c r="I303">
        <v>1</v>
      </c>
      <c r="N303" s="4" t="s">
        <v>364</v>
      </c>
      <c r="O303">
        <v>0</v>
      </c>
      <c r="Q303" s="4" t="s">
        <v>364</v>
      </c>
      <c r="R303">
        <v>5000001</v>
      </c>
      <c r="AB303">
        <v>0</v>
      </c>
      <c r="AC303">
        <v>0</v>
      </c>
      <c r="AD303">
        <v>0</v>
      </c>
      <c r="AE303">
        <v>0</v>
      </c>
    </row>
    <row r="304" spans="7:31" x14ac:dyDescent="0.3">
      <c r="G304" s="4" t="s">
        <v>365</v>
      </c>
      <c r="H304">
        <v>3</v>
      </c>
      <c r="I304">
        <v>3</v>
      </c>
      <c r="N304" s="4" t="s">
        <v>365</v>
      </c>
      <c r="O304">
        <v>91</v>
      </c>
      <c r="Q304" s="4" t="s">
        <v>365</v>
      </c>
      <c r="R304">
        <v>1775969</v>
      </c>
      <c r="AB304">
        <v>0</v>
      </c>
      <c r="AC304">
        <v>0</v>
      </c>
      <c r="AD304">
        <v>0</v>
      </c>
      <c r="AE304">
        <v>0</v>
      </c>
    </row>
    <row r="305" spans="7:31" x14ac:dyDescent="0.3">
      <c r="G305" s="4" t="s">
        <v>366</v>
      </c>
      <c r="H305">
        <v>1</v>
      </c>
      <c r="I305">
        <v>1</v>
      </c>
      <c r="N305" s="4" t="s">
        <v>366</v>
      </c>
      <c r="O305">
        <v>0</v>
      </c>
      <c r="Q305" s="4" t="s">
        <v>366</v>
      </c>
      <c r="R305">
        <v>5000001</v>
      </c>
      <c r="AB305">
        <v>0</v>
      </c>
      <c r="AC305">
        <v>0</v>
      </c>
      <c r="AD305">
        <v>0</v>
      </c>
      <c r="AE305">
        <v>0</v>
      </c>
    </row>
    <row r="306" spans="7:31" x14ac:dyDescent="0.3">
      <c r="G306" s="4" t="s">
        <v>367</v>
      </c>
      <c r="H306">
        <v>5</v>
      </c>
      <c r="I306">
        <v>4</v>
      </c>
      <c r="N306" s="4" t="s">
        <v>367</v>
      </c>
      <c r="O306">
        <v>6</v>
      </c>
      <c r="Q306" s="4" t="s">
        <v>367</v>
      </c>
      <c r="R306">
        <v>1660917</v>
      </c>
      <c r="AB306">
        <v>0</v>
      </c>
      <c r="AC306">
        <v>0</v>
      </c>
      <c r="AD306">
        <v>0</v>
      </c>
      <c r="AE306">
        <v>0</v>
      </c>
    </row>
    <row r="307" spans="7:31" x14ac:dyDescent="0.3">
      <c r="G307" s="4" t="s">
        <v>369</v>
      </c>
      <c r="H307">
        <v>4</v>
      </c>
      <c r="I307">
        <v>1</v>
      </c>
      <c r="N307" s="4" t="s">
        <v>369</v>
      </c>
      <c r="O307">
        <v>0</v>
      </c>
      <c r="Q307" s="4" t="s">
        <v>369</v>
      </c>
      <c r="R307">
        <v>1661830</v>
      </c>
      <c r="AB307">
        <v>0</v>
      </c>
      <c r="AC307">
        <v>0</v>
      </c>
      <c r="AD307">
        <v>0</v>
      </c>
      <c r="AE307">
        <v>0</v>
      </c>
    </row>
    <row r="308" spans="7:31" x14ac:dyDescent="0.3">
      <c r="G308" s="4" t="s">
        <v>370</v>
      </c>
      <c r="H308">
        <v>2</v>
      </c>
      <c r="I308">
        <v>1</v>
      </c>
      <c r="N308" s="4" t="s">
        <v>370</v>
      </c>
      <c r="O308">
        <v>16</v>
      </c>
      <c r="Q308" s="4" t="s">
        <v>370</v>
      </c>
      <c r="R308">
        <v>1857743</v>
      </c>
      <c r="AB308">
        <v>0</v>
      </c>
      <c r="AC308">
        <v>0</v>
      </c>
      <c r="AD308">
        <v>0</v>
      </c>
      <c r="AE308">
        <v>0</v>
      </c>
    </row>
    <row r="309" spans="7:31" x14ac:dyDescent="0.3">
      <c r="G309" s="4" t="s">
        <v>371</v>
      </c>
      <c r="H309">
        <v>4</v>
      </c>
      <c r="I309">
        <v>1</v>
      </c>
      <c r="N309" s="4" t="s">
        <v>371</v>
      </c>
      <c r="O309">
        <v>267</v>
      </c>
      <c r="Q309" s="4" t="s">
        <v>371</v>
      </c>
      <c r="R309">
        <v>760157</v>
      </c>
      <c r="AB309">
        <v>0</v>
      </c>
      <c r="AC309">
        <v>0</v>
      </c>
      <c r="AD309">
        <v>0</v>
      </c>
      <c r="AE309">
        <v>0</v>
      </c>
    </row>
    <row r="310" spans="7:31" x14ac:dyDescent="0.3">
      <c r="G310" s="4" t="s">
        <v>372</v>
      </c>
      <c r="H310">
        <v>2</v>
      </c>
      <c r="I310">
        <v>2</v>
      </c>
      <c r="N310" s="4" t="s">
        <v>372</v>
      </c>
      <c r="O310">
        <v>0</v>
      </c>
      <c r="Q310" s="4" t="s">
        <v>372</v>
      </c>
      <c r="R310">
        <v>1928477</v>
      </c>
      <c r="AB310">
        <v>0</v>
      </c>
      <c r="AC310">
        <v>0</v>
      </c>
      <c r="AD310">
        <v>0</v>
      </c>
      <c r="AE310">
        <v>0</v>
      </c>
    </row>
    <row r="311" spans="7:31" x14ac:dyDescent="0.3">
      <c r="G311" s="4" t="s">
        <v>373</v>
      </c>
      <c r="H311">
        <v>1</v>
      </c>
      <c r="I311">
        <v>1</v>
      </c>
      <c r="N311" s="4" t="s">
        <v>373</v>
      </c>
      <c r="O311">
        <v>2</v>
      </c>
      <c r="Q311" s="4" t="s">
        <v>373</v>
      </c>
      <c r="R311">
        <v>3071864</v>
      </c>
      <c r="AB311">
        <v>0</v>
      </c>
      <c r="AC311">
        <v>0</v>
      </c>
      <c r="AD311">
        <v>0</v>
      </c>
      <c r="AE311">
        <v>0</v>
      </c>
    </row>
    <row r="312" spans="7:31" x14ac:dyDescent="0.3">
      <c r="G312" s="4" t="s">
        <v>374</v>
      </c>
      <c r="H312">
        <v>5</v>
      </c>
      <c r="I312">
        <v>1</v>
      </c>
      <c r="N312" s="4" t="s">
        <v>374</v>
      </c>
      <c r="O312">
        <v>60</v>
      </c>
      <c r="Q312" s="4" t="s">
        <v>374</v>
      </c>
      <c r="R312">
        <v>1246779</v>
      </c>
      <c r="AB312">
        <v>0</v>
      </c>
      <c r="AC312">
        <v>0</v>
      </c>
      <c r="AD312">
        <v>0</v>
      </c>
      <c r="AE312">
        <v>0</v>
      </c>
    </row>
    <row r="313" spans="7:31" x14ac:dyDescent="0.3">
      <c r="G313" s="4" t="s">
        <v>375</v>
      </c>
      <c r="H313">
        <v>4</v>
      </c>
      <c r="I313">
        <v>1</v>
      </c>
      <c r="N313" s="4" t="s">
        <v>375</v>
      </c>
      <c r="O313">
        <v>36</v>
      </c>
      <c r="Q313" s="4" t="s">
        <v>375</v>
      </c>
      <c r="R313">
        <v>951927</v>
      </c>
      <c r="AB313">
        <v>0</v>
      </c>
      <c r="AC313">
        <v>0</v>
      </c>
      <c r="AD313">
        <v>0</v>
      </c>
      <c r="AE313">
        <v>0</v>
      </c>
    </row>
    <row r="314" spans="7:31" x14ac:dyDescent="0.3">
      <c r="G314" s="4" t="s">
        <v>376</v>
      </c>
      <c r="H314">
        <v>0</v>
      </c>
      <c r="I314">
        <v>0</v>
      </c>
      <c r="N314" s="4" t="s">
        <v>376</v>
      </c>
      <c r="O314">
        <v>0</v>
      </c>
      <c r="Q314" s="4" t="s">
        <v>376</v>
      </c>
      <c r="R314">
        <v>5000001</v>
      </c>
      <c r="AB314">
        <v>0</v>
      </c>
      <c r="AC314">
        <v>0</v>
      </c>
      <c r="AD314">
        <v>0</v>
      </c>
      <c r="AE314">
        <v>0</v>
      </c>
    </row>
    <row r="315" spans="7:31" x14ac:dyDescent="0.3">
      <c r="G315" s="4" t="s">
        <v>377</v>
      </c>
      <c r="H315">
        <v>3</v>
      </c>
      <c r="I315">
        <v>2</v>
      </c>
      <c r="N315" s="4" t="s">
        <v>377</v>
      </c>
      <c r="O315">
        <v>949</v>
      </c>
      <c r="Q315" s="4" t="s">
        <v>377</v>
      </c>
      <c r="R315">
        <v>454589</v>
      </c>
      <c r="AB315">
        <v>0</v>
      </c>
      <c r="AC315">
        <v>0</v>
      </c>
      <c r="AD315">
        <v>0</v>
      </c>
      <c r="AE315">
        <v>0</v>
      </c>
    </row>
    <row r="316" spans="7:31" x14ac:dyDescent="0.3">
      <c r="G316" s="4" t="s">
        <v>378</v>
      </c>
      <c r="H316">
        <v>6</v>
      </c>
      <c r="I316">
        <v>2</v>
      </c>
      <c r="N316" s="4" t="s">
        <v>378</v>
      </c>
      <c r="O316">
        <v>365</v>
      </c>
      <c r="Q316" s="4" t="s">
        <v>378</v>
      </c>
      <c r="R316">
        <v>431448</v>
      </c>
      <c r="AB316">
        <v>0</v>
      </c>
      <c r="AC316">
        <v>0</v>
      </c>
      <c r="AD316">
        <v>0</v>
      </c>
      <c r="AE316">
        <v>0</v>
      </c>
    </row>
    <row r="317" spans="7:31" x14ac:dyDescent="0.3">
      <c r="G317" s="4" t="s">
        <v>379</v>
      </c>
      <c r="H317">
        <v>0</v>
      </c>
      <c r="I317">
        <v>0</v>
      </c>
      <c r="N317" s="4" t="s">
        <v>379</v>
      </c>
      <c r="O317">
        <v>2</v>
      </c>
      <c r="Q317" s="4" t="s">
        <v>379</v>
      </c>
      <c r="R317">
        <v>1836617</v>
      </c>
      <c r="AB317">
        <v>0</v>
      </c>
      <c r="AC317">
        <v>0</v>
      </c>
      <c r="AD317">
        <v>0</v>
      </c>
      <c r="AE317">
        <v>0</v>
      </c>
    </row>
    <row r="318" spans="7:31" x14ac:dyDescent="0.3">
      <c r="G318" s="4" t="s">
        <v>380</v>
      </c>
      <c r="H318">
        <v>5</v>
      </c>
      <c r="I318">
        <v>1</v>
      </c>
      <c r="N318" s="4" t="s">
        <v>380</v>
      </c>
      <c r="O318">
        <v>1</v>
      </c>
      <c r="Q318" s="4" t="s">
        <v>380</v>
      </c>
      <c r="R318">
        <v>1904265</v>
      </c>
      <c r="AB318">
        <v>0</v>
      </c>
      <c r="AC318">
        <v>0</v>
      </c>
      <c r="AD318">
        <v>0</v>
      </c>
      <c r="AE318">
        <v>0</v>
      </c>
    </row>
    <row r="319" spans="7:31" x14ac:dyDescent="0.3">
      <c r="G319" s="4" t="s">
        <v>381</v>
      </c>
      <c r="H319">
        <v>3</v>
      </c>
      <c r="I319">
        <v>1</v>
      </c>
      <c r="N319" s="4" t="s">
        <v>381</v>
      </c>
      <c r="O319">
        <v>257</v>
      </c>
      <c r="Q319" s="4" t="s">
        <v>381</v>
      </c>
      <c r="R319">
        <v>1016019</v>
      </c>
      <c r="AB319">
        <v>0</v>
      </c>
      <c r="AC319">
        <v>0</v>
      </c>
      <c r="AD319">
        <v>0</v>
      </c>
      <c r="AE319">
        <v>0</v>
      </c>
    </row>
    <row r="320" spans="7:31" x14ac:dyDescent="0.3">
      <c r="G320" s="4" t="s">
        <v>382</v>
      </c>
      <c r="H320">
        <v>5</v>
      </c>
      <c r="I320">
        <v>1</v>
      </c>
      <c r="N320" s="4" t="s">
        <v>382</v>
      </c>
      <c r="O320">
        <v>0</v>
      </c>
      <c r="Q320" s="4" t="s">
        <v>382</v>
      </c>
      <c r="R320">
        <v>355303</v>
      </c>
      <c r="AB320">
        <v>0</v>
      </c>
      <c r="AC320">
        <v>0</v>
      </c>
      <c r="AD320">
        <v>0</v>
      </c>
      <c r="AE320">
        <v>0</v>
      </c>
    </row>
    <row r="321" spans="7:31" x14ac:dyDescent="0.3">
      <c r="G321" s="4" t="s">
        <v>383</v>
      </c>
      <c r="H321">
        <v>2</v>
      </c>
      <c r="I321">
        <v>2</v>
      </c>
      <c r="N321" s="4" t="s">
        <v>383</v>
      </c>
      <c r="O321">
        <v>0</v>
      </c>
      <c r="Q321" s="4" t="s">
        <v>383</v>
      </c>
      <c r="R321">
        <v>2726715</v>
      </c>
      <c r="AB321">
        <v>0</v>
      </c>
      <c r="AC321">
        <v>0</v>
      </c>
      <c r="AD321">
        <v>0</v>
      </c>
      <c r="AE321">
        <v>0</v>
      </c>
    </row>
    <row r="322" spans="7:31" x14ac:dyDescent="0.3">
      <c r="G322" s="4" t="s">
        <v>384</v>
      </c>
      <c r="H322">
        <v>4</v>
      </c>
      <c r="I322">
        <v>0</v>
      </c>
      <c r="N322" s="4" t="s">
        <v>384</v>
      </c>
      <c r="O322">
        <v>0</v>
      </c>
      <c r="Q322" s="4" t="s">
        <v>384</v>
      </c>
      <c r="R322">
        <v>3457485</v>
      </c>
      <c r="AB322">
        <v>0</v>
      </c>
      <c r="AC322">
        <v>0</v>
      </c>
      <c r="AD322">
        <v>0</v>
      </c>
      <c r="AE322">
        <v>0</v>
      </c>
    </row>
    <row r="323" spans="7:31" x14ac:dyDescent="0.3">
      <c r="G323" s="4" t="s">
        <v>385</v>
      </c>
      <c r="H323">
        <v>1</v>
      </c>
      <c r="I323">
        <v>2</v>
      </c>
      <c r="N323" s="4" t="s">
        <v>385</v>
      </c>
      <c r="O323">
        <v>0</v>
      </c>
      <c r="Q323" s="4" t="s">
        <v>385</v>
      </c>
      <c r="R323">
        <v>5000001</v>
      </c>
      <c r="AB323">
        <v>0</v>
      </c>
      <c r="AC323">
        <v>0</v>
      </c>
      <c r="AD323">
        <v>0</v>
      </c>
      <c r="AE323">
        <v>0</v>
      </c>
    </row>
    <row r="324" spans="7:31" x14ac:dyDescent="0.3">
      <c r="G324" s="4" t="s">
        <v>386</v>
      </c>
      <c r="H324">
        <v>3</v>
      </c>
      <c r="I324">
        <v>2</v>
      </c>
      <c r="N324" s="4" t="s">
        <v>386</v>
      </c>
      <c r="O324">
        <v>418</v>
      </c>
      <c r="Q324" s="4" t="s">
        <v>386</v>
      </c>
      <c r="R324">
        <v>424724</v>
      </c>
      <c r="AB324">
        <v>0</v>
      </c>
      <c r="AC324">
        <v>0</v>
      </c>
      <c r="AD324">
        <v>0</v>
      </c>
      <c r="AE324">
        <v>0</v>
      </c>
    </row>
    <row r="325" spans="7:31" x14ac:dyDescent="0.3">
      <c r="G325" s="4" t="s">
        <v>387</v>
      </c>
      <c r="H325">
        <v>2</v>
      </c>
      <c r="I325">
        <v>0</v>
      </c>
      <c r="N325" s="4" t="s">
        <v>387</v>
      </c>
      <c r="O325">
        <v>20</v>
      </c>
      <c r="Q325" s="4" t="s">
        <v>387</v>
      </c>
      <c r="R325">
        <v>2727006</v>
      </c>
      <c r="AB325">
        <v>0</v>
      </c>
      <c r="AC325">
        <v>0</v>
      </c>
      <c r="AD325">
        <v>0</v>
      </c>
      <c r="AE325">
        <v>0</v>
      </c>
    </row>
    <row r="326" spans="7:31" x14ac:dyDescent="0.3">
      <c r="G326" s="4" t="s">
        <v>388</v>
      </c>
      <c r="H326">
        <v>0</v>
      </c>
      <c r="I326">
        <v>0</v>
      </c>
      <c r="N326" s="4" t="s">
        <v>388</v>
      </c>
      <c r="O326">
        <v>0</v>
      </c>
      <c r="Q326" s="4" t="s">
        <v>388</v>
      </c>
      <c r="R326">
        <v>5000001</v>
      </c>
      <c r="AB326">
        <v>0</v>
      </c>
      <c r="AC326">
        <v>0</v>
      </c>
      <c r="AD326">
        <v>0</v>
      </c>
      <c r="AE326">
        <v>0</v>
      </c>
    </row>
    <row r="327" spans="7:31" x14ac:dyDescent="0.3">
      <c r="G327" s="4" t="s">
        <v>389</v>
      </c>
      <c r="H327">
        <v>1</v>
      </c>
      <c r="I327">
        <v>1</v>
      </c>
      <c r="N327" s="4" t="s">
        <v>389</v>
      </c>
      <c r="O327">
        <v>0</v>
      </c>
      <c r="Q327" s="4" t="s">
        <v>389</v>
      </c>
      <c r="R327">
        <v>5000001</v>
      </c>
      <c r="AB327">
        <v>0</v>
      </c>
      <c r="AC327">
        <v>0</v>
      </c>
      <c r="AD327">
        <v>0</v>
      </c>
      <c r="AE327">
        <v>0</v>
      </c>
    </row>
    <row r="328" spans="7:31" x14ac:dyDescent="0.3">
      <c r="G328" s="4" t="s">
        <v>390</v>
      </c>
      <c r="H328">
        <v>4</v>
      </c>
      <c r="I328">
        <v>1</v>
      </c>
      <c r="N328" s="4" t="s">
        <v>390</v>
      </c>
      <c r="O328">
        <v>2</v>
      </c>
      <c r="Q328" s="4" t="s">
        <v>390</v>
      </c>
      <c r="R328">
        <v>1836473</v>
      </c>
      <c r="AB328">
        <v>0</v>
      </c>
      <c r="AC328">
        <v>0</v>
      </c>
      <c r="AD328">
        <v>0</v>
      </c>
      <c r="AE328">
        <v>0</v>
      </c>
    </row>
    <row r="329" spans="7:31" x14ac:dyDescent="0.3">
      <c r="G329" s="4" t="s">
        <v>391</v>
      </c>
      <c r="H329">
        <v>5</v>
      </c>
      <c r="I329">
        <v>4</v>
      </c>
      <c r="N329" s="4" t="s">
        <v>391</v>
      </c>
      <c r="O329">
        <v>289</v>
      </c>
      <c r="Q329" s="4" t="s">
        <v>391</v>
      </c>
      <c r="R329">
        <v>679757</v>
      </c>
      <c r="AB329">
        <v>0</v>
      </c>
      <c r="AC329">
        <v>0</v>
      </c>
      <c r="AD329">
        <v>0</v>
      </c>
      <c r="AE329">
        <v>0</v>
      </c>
    </row>
    <row r="330" spans="7:31" x14ac:dyDescent="0.3">
      <c r="G330" s="4" t="s">
        <v>392</v>
      </c>
      <c r="H330">
        <v>1</v>
      </c>
      <c r="I330">
        <v>1</v>
      </c>
      <c r="N330" s="4" t="s">
        <v>392</v>
      </c>
      <c r="O330">
        <v>3</v>
      </c>
      <c r="Q330" s="4" t="s">
        <v>392</v>
      </c>
      <c r="R330">
        <v>3885735</v>
      </c>
      <c r="AB330">
        <v>0</v>
      </c>
      <c r="AC330">
        <v>0</v>
      </c>
      <c r="AD330">
        <v>0</v>
      </c>
      <c r="AE330">
        <v>0</v>
      </c>
    </row>
    <row r="331" spans="7:31" x14ac:dyDescent="0.3">
      <c r="G331" s="4" t="s">
        <v>393</v>
      </c>
      <c r="H331">
        <v>2</v>
      </c>
      <c r="I331">
        <v>1</v>
      </c>
      <c r="N331" s="4" t="s">
        <v>393</v>
      </c>
      <c r="O331">
        <v>0</v>
      </c>
      <c r="Q331" s="4" t="s">
        <v>393</v>
      </c>
      <c r="R331">
        <v>2628668</v>
      </c>
      <c r="AB331">
        <v>0</v>
      </c>
      <c r="AC331">
        <v>0</v>
      </c>
      <c r="AD331">
        <v>0</v>
      </c>
      <c r="AE331">
        <v>0</v>
      </c>
    </row>
    <row r="332" spans="7:31" x14ac:dyDescent="0.3">
      <c r="G332" s="4" t="s">
        <v>394</v>
      </c>
      <c r="H332">
        <v>2</v>
      </c>
      <c r="I332">
        <v>1</v>
      </c>
      <c r="N332" s="4" t="s">
        <v>394</v>
      </c>
      <c r="O332">
        <v>0</v>
      </c>
      <c r="Q332" s="4" t="s">
        <v>394</v>
      </c>
      <c r="R332">
        <v>5000001</v>
      </c>
      <c r="AB332">
        <v>0</v>
      </c>
      <c r="AC332">
        <v>0</v>
      </c>
      <c r="AD332">
        <v>0</v>
      </c>
      <c r="AE332">
        <v>0</v>
      </c>
    </row>
    <row r="333" spans="7:31" x14ac:dyDescent="0.3">
      <c r="G333" s="4" t="s">
        <v>395</v>
      </c>
      <c r="H333">
        <v>3</v>
      </c>
      <c r="I333">
        <v>0</v>
      </c>
      <c r="N333" s="4" t="s">
        <v>395</v>
      </c>
      <c r="O333">
        <v>5</v>
      </c>
      <c r="Q333" s="4" t="s">
        <v>395</v>
      </c>
      <c r="R333">
        <v>5000001</v>
      </c>
      <c r="AB333">
        <v>0</v>
      </c>
      <c r="AC333">
        <v>0</v>
      </c>
      <c r="AD333">
        <v>0</v>
      </c>
      <c r="AE333">
        <v>0</v>
      </c>
    </row>
    <row r="334" spans="7:31" x14ac:dyDescent="0.3">
      <c r="G334" s="4" t="s">
        <v>396</v>
      </c>
      <c r="H334">
        <v>3</v>
      </c>
      <c r="I334">
        <v>2</v>
      </c>
      <c r="N334" s="4" t="s">
        <v>396</v>
      </c>
      <c r="O334">
        <v>0</v>
      </c>
      <c r="Q334" s="4" t="s">
        <v>396</v>
      </c>
      <c r="R334">
        <v>3378024</v>
      </c>
      <c r="AB334">
        <v>0</v>
      </c>
      <c r="AC334">
        <v>0</v>
      </c>
      <c r="AD334">
        <v>0</v>
      </c>
      <c r="AE334">
        <v>0</v>
      </c>
    </row>
    <row r="335" spans="7:31" x14ac:dyDescent="0.3">
      <c r="G335" s="4" t="s">
        <v>397</v>
      </c>
      <c r="H335">
        <v>0</v>
      </c>
      <c r="I335">
        <v>0</v>
      </c>
      <c r="N335" s="4" t="s">
        <v>397</v>
      </c>
      <c r="O335">
        <v>0</v>
      </c>
      <c r="Q335" s="4" t="s">
        <v>397</v>
      </c>
      <c r="R335">
        <v>5000001</v>
      </c>
      <c r="AB335">
        <v>0</v>
      </c>
      <c r="AC335">
        <v>0</v>
      </c>
      <c r="AD335">
        <v>0</v>
      </c>
      <c r="AE335">
        <v>0</v>
      </c>
    </row>
    <row r="336" spans="7:31" x14ac:dyDescent="0.3">
      <c r="G336" s="4" t="s">
        <v>398</v>
      </c>
      <c r="H336">
        <v>1</v>
      </c>
      <c r="I336">
        <v>0</v>
      </c>
      <c r="N336" s="4" t="s">
        <v>398</v>
      </c>
      <c r="O336">
        <v>0</v>
      </c>
      <c r="Q336" s="4" t="s">
        <v>398</v>
      </c>
      <c r="R336">
        <v>5000001</v>
      </c>
      <c r="AB336">
        <v>0</v>
      </c>
      <c r="AC336">
        <v>0</v>
      </c>
      <c r="AD336">
        <v>0</v>
      </c>
      <c r="AE336">
        <v>0</v>
      </c>
    </row>
    <row r="337" spans="7:31" x14ac:dyDescent="0.3">
      <c r="G337" s="4" t="s">
        <v>399</v>
      </c>
      <c r="H337">
        <v>0</v>
      </c>
      <c r="I337">
        <v>0</v>
      </c>
      <c r="N337" s="4" t="s">
        <v>399</v>
      </c>
      <c r="O337">
        <v>14</v>
      </c>
      <c r="Q337" s="4" t="s">
        <v>399</v>
      </c>
      <c r="R337">
        <v>726997</v>
      </c>
      <c r="AB337">
        <v>0</v>
      </c>
      <c r="AC337">
        <v>0</v>
      </c>
      <c r="AD337">
        <v>0</v>
      </c>
      <c r="AE337">
        <v>0</v>
      </c>
    </row>
    <row r="338" spans="7:31" x14ac:dyDescent="0.3">
      <c r="G338" s="4" t="s">
        <v>400</v>
      </c>
      <c r="H338">
        <v>0</v>
      </c>
      <c r="I338">
        <v>0</v>
      </c>
      <c r="N338" s="4" t="s">
        <v>400</v>
      </c>
      <c r="O338">
        <v>0</v>
      </c>
      <c r="Q338" s="4" t="s">
        <v>400</v>
      </c>
      <c r="R338">
        <v>2889910</v>
      </c>
      <c r="AB338">
        <v>0</v>
      </c>
      <c r="AC338">
        <v>0</v>
      </c>
      <c r="AD338">
        <v>0</v>
      </c>
      <c r="AE338">
        <v>0</v>
      </c>
    </row>
    <row r="339" spans="7:31" x14ac:dyDescent="0.3">
      <c r="G339" s="4" t="s">
        <v>401</v>
      </c>
      <c r="H339">
        <v>0</v>
      </c>
      <c r="I339">
        <v>0</v>
      </c>
      <c r="N339" s="4" t="s">
        <v>401</v>
      </c>
      <c r="O339">
        <v>0</v>
      </c>
      <c r="Q339" s="4" t="s">
        <v>401</v>
      </c>
      <c r="R339">
        <v>5000001</v>
      </c>
      <c r="AB339">
        <v>0</v>
      </c>
      <c r="AC339">
        <v>0</v>
      </c>
      <c r="AD339">
        <v>0</v>
      </c>
      <c r="AE339">
        <v>0</v>
      </c>
    </row>
    <row r="340" spans="7:31" x14ac:dyDescent="0.3">
      <c r="G340" s="4" t="s">
        <v>402</v>
      </c>
      <c r="H340">
        <v>3</v>
      </c>
      <c r="I340">
        <v>3</v>
      </c>
      <c r="N340" s="4" t="s">
        <v>402</v>
      </c>
      <c r="O340">
        <v>81</v>
      </c>
      <c r="Q340" s="4" t="s">
        <v>402</v>
      </c>
      <c r="R340">
        <v>2457458</v>
      </c>
      <c r="AB340">
        <v>0</v>
      </c>
      <c r="AC340">
        <v>0</v>
      </c>
      <c r="AD340">
        <v>0</v>
      </c>
      <c r="AE340">
        <v>0</v>
      </c>
    </row>
    <row r="341" spans="7:31" x14ac:dyDescent="0.3">
      <c r="G341" s="4" t="s">
        <v>404</v>
      </c>
      <c r="H341">
        <v>0</v>
      </c>
      <c r="I341">
        <v>2</v>
      </c>
      <c r="N341" s="4" t="s">
        <v>404</v>
      </c>
      <c r="O341">
        <v>36</v>
      </c>
      <c r="Q341" s="4" t="s">
        <v>404</v>
      </c>
      <c r="R341">
        <v>5000001</v>
      </c>
      <c r="AB341">
        <v>0</v>
      </c>
      <c r="AC341">
        <v>0</v>
      </c>
      <c r="AD341">
        <v>0</v>
      </c>
      <c r="AE341">
        <v>0</v>
      </c>
    </row>
    <row r="342" spans="7:31" x14ac:dyDescent="0.3">
      <c r="G342" s="4" t="s">
        <v>405</v>
      </c>
      <c r="H342">
        <v>0</v>
      </c>
      <c r="I342">
        <v>0</v>
      </c>
      <c r="N342" s="4" t="s">
        <v>405</v>
      </c>
      <c r="O342">
        <v>0</v>
      </c>
      <c r="Q342" s="4" t="s">
        <v>405</v>
      </c>
      <c r="R342">
        <v>5000001</v>
      </c>
      <c r="AB342">
        <v>0</v>
      </c>
      <c r="AC342">
        <v>0</v>
      </c>
      <c r="AD342">
        <v>0</v>
      </c>
      <c r="AE342">
        <v>0</v>
      </c>
    </row>
    <row r="343" spans="7:31" x14ac:dyDescent="0.3">
      <c r="G343" s="4" t="s">
        <v>406</v>
      </c>
      <c r="H343">
        <v>0</v>
      </c>
      <c r="I343">
        <v>0</v>
      </c>
      <c r="N343" s="4" t="s">
        <v>406</v>
      </c>
      <c r="O343">
        <v>0</v>
      </c>
      <c r="Q343" s="4" t="s">
        <v>406</v>
      </c>
      <c r="R343">
        <v>5000001</v>
      </c>
      <c r="AB343">
        <v>0</v>
      </c>
      <c r="AC343">
        <v>0</v>
      </c>
      <c r="AD343">
        <v>0</v>
      </c>
      <c r="AE343">
        <v>0</v>
      </c>
    </row>
    <row r="344" spans="7:31" x14ac:dyDescent="0.3">
      <c r="G344" s="4" t="s">
        <v>407</v>
      </c>
      <c r="H344">
        <v>0</v>
      </c>
      <c r="I344">
        <v>0</v>
      </c>
      <c r="N344" s="4" t="s">
        <v>407</v>
      </c>
      <c r="O344">
        <v>0</v>
      </c>
      <c r="Q344" s="4" t="s">
        <v>407</v>
      </c>
      <c r="R344">
        <v>5000001</v>
      </c>
      <c r="AB344">
        <v>0</v>
      </c>
      <c r="AC344">
        <v>0</v>
      </c>
      <c r="AD344">
        <v>0</v>
      </c>
      <c r="AE344">
        <v>0</v>
      </c>
    </row>
    <row r="345" spans="7:31" x14ac:dyDescent="0.3">
      <c r="G345" s="4" t="s">
        <v>408</v>
      </c>
      <c r="H345">
        <v>1</v>
      </c>
      <c r="I345">
        <v>0</v>
      </c>
      <c r="N345" s="4" t="s">
        <v>408</v>
      </c>
      <c r="O345">
        <v>0</v>
      </c>
      <c r="Q345" s="4" t="s">
        <v>408</v>
      </c>
      <c r="R345">
        <v>5000001</v>
      </c>
      <c r="AB345">
        <v>0</v>
      </c>
      <c r="AC345">
        <v>0</v>
      </c>
      <c r="AD345">
        <v>0</v>
      </c>
      <c r="AE345">
        <v>0</v>
      </c>
    </row>
    <row r="346" spans="7:31" x14ac:dyDescent="0.3">
      <c r="G346" s="4" t="s">
        <v>409</v>
      </c>
      <c r="H346">
        <v>2</v>
      </c>
      <c r="I346">
        <v>2</v>
      </c>
      <c r="N346" s="4" t="s">
        <v>409</v>
      </c>
      <c r="O346">
        <v>0</v>
      </c>
      <c r="Q346" s="4" t="s">
        <v>409</v>
      </c>
      <c r="R346">
        <v>5000001</v>
      </c>
      <c r="AB346">
        <v>0</v>
      </c>
      <c r="AC346">
        <v>0</v>
      </c>
      <c r="AD346">
        <v>0</v>
      </c>
      <c r="AE346">
        <v>0</v>
      </c>
    </row>
    <row r="347" spans="7:31" x14ac:dyDescent="0.3">
      <c r="G347" s="4" t="s">
        <v>411</v>
      </c>
      <c r="H347">
        <v>1</v>
      </c>
      <c r="I347">
        <v>1</v>
      </c>
      <c r="N347" s="4" t="s">
        <v>411</v>
      </c>
      <c r="O347">
        <v>0</v>
      </c>
      <c r="Q347" s="4" t="s">
        <v>411</v>
      </c>
      <c r="R347">
        <v>5000001</v>
      </c>
      <c r="AB347">
        <v>0</v>
      </c>
      <c r="AC347">
        <v>0</v>
      </c>
      <c r="AD347">
        <v>0</v>
      </c>
      <c r="AE347">
        <v>0</v>
      </c>
    </row>
    <row r="348" spans="7:31" x14ac:dyDescent="0.3">
      <c r="G348" s="4" t="s">
        <v>412</v>
      </c>
      <c r="H348">
        <v>1</v>
      </c>
      <c r="I348">
        <v>1</v>
      </c>
      <c r="N348" s="4" t="s">
        <v>412</v>
      </c>
      <c r="O348">
        <v>0</v>
      </c>
      <c r="Q348" s="4" t="s">
        <v>412</v>
      </c>
      <c r="R348">
        <v>5000001</v>
      </c>
      <c r="AB348">
        <v>0</v>
      </c>
      <c r="AC348">
        <v>0</v>
      </c>
      <c r="AD348">
        <v>0</v>
      </c>
      <c r="AE348">
        <v>0</v>
      </c>
    </row>
    <row r="349" spans="7:31" x14ac:dyDescent="0.3">
      <c r="G349" s="4" t="s">
        <v>413</v>
      </c>
      <c r="H349">
        <v>0</v>
      </c>
      <c r="I349">
        <v>0</v>
      </c>
      <c r="N349" s="4" t="s">
        <v>413</v>
      </c>
      <c r="O349">
        <v>0</v>
      </c>
      <c r="Q349" s="4" t="s">
        <v>413</v>
      </c>
      <c r="R349">
        <v>5000001</v>
      </c>
      <c r="AB349">
        <v>0</v>
      </c>
      <c r="AC349">
        <v>0</v>
      </c>
      <c r="AD349">
        <v>0</v>
      </c>
      <c r="AE349">
        <v>0</v>
      </c>
    </row>
    <row r="350" spans="7:31" x14ac:dyDescent="0.3">
      <c r="G350" s="4" t="s">
        <v>414</v>
      </c>
      <c r="H350">
        <v>2</v>
      </c>
      <c r="I350">
        <v>0</v>
      </c>
      <c r="N350" s="4" t="s">
        <v>414</v>
      </c>
      <c r="O350">
        <v>0</v>
      </c>
      <c r="Q350" s="4" t="s">
        <v>414</v>
      </c>
      <c r="R350">
        <v>5000001</v>
      </c>
      <c r="AB350">
        <v>0</v>
      </c>
      <c r="AC350">
        <v>0</v>
      </c>
      <c r="AD350">
        <v>0</v>
      </c>
      <c r="AE350">
        <v>0</v>
      </c>
    </row>
    <row r="351" spans="7:31" x14ac:dyDescent="0.3">
      <c r="G351" s="4" t="s">
        <v>415</v>
      </c>
      <c r="H351">
        <v>1</v>
      </c>
      <c r="I351">
        <v>0</v>
      </c>
      <c r="N351" s="4" t="s">
        <v>415</v>
      </c>
      <c r="O351">
        <v>13</v>
      </c>
      <c r="Q351" s="4" t="s">
        <v>415</v>
      </c>
      <c r="R351">
        <v>5000001</v>
      </c>
      <c r="AB351">
        <v>0</v>
      </c>
      <c r="AC351">
        <v>0</v>
      </c>
      <c r="AD351">
        <v>0</v>
      </c>
      <c r="AE351">
        <v>0</v>
      </c>
    </row>
    <row r="352" spans="7:31" x14ac:dyDescent="0.3">
      <c r="G352" s="4" t="s">
        <v>416</v>
      </c>
      <c r="H352">
        <v>5</v>
      </c>
      <c r="I352">
        <v>1</v>
      </c>
      <c r="N352" s="4" t="s">
        <v>416</v>
      </c>
      <c r="O352">
        <v>569</v>
      </c>
      <c r="Q352" s="4" t="s">
        <v>416</v>
      </c>
      <c r="R352">
        <v>235667</v>
      </c>
      <c r="AB352">
        <v>0</v>
      </c>
      <c r="AC352">
        <v>0</v>
      </c>
      <c r="AD352">
        <v>0</v>
      </c>
      <c r="AE352">
        <v>0</v>
      </c>
    </row>
    <row r="353" spans="7:31" x14ac:dyDescent="0.3">
      <c r="G353" s="4" t="s">
        <v>417</v>
      </c>
      <c r="H353">
        <v>0</v>
      </c>
      <c r="I353">
        <v>0</v>
      </c>
      <c r="N353" s="4" t="s">
        <v>417</v>
      </c>
      <c r="O353">
        <v>300</v>
      </c>
      <c r="Q353" s="4" t="s">
        <v>417</v>
      </c>
      <c r="R353">
        <v>1038393</v>
      </c>
      <c r="AB353">
        <v>0</v>
      </c>
      <c r="AC353">
        <v>0</v>
      </c>
      <c r="AD353">
        <v>0</v>
      </c>
      <c r="AE353">
        <v>0</v>
      </c>
    </row>
    <row r="354" spans="7:31" x14ac:dyDescent="0.3">
      <c r="G354" s="4" t="s">
        <v>418</v>
      </c>
      <c r="H354">
        <v>0</v>
      </c>
      <c r="I354">
        <v>0</v>
      </c>
      <c r="N354" s="4" t="s">
        <v>418</v>
      </c>
      <c r="O354">
        <v>11</v>
      </c>
      <c r="Q354" s="4" t="s">
        <v>418</v>
      </c>
      <c r="R354">
        <v>5000001</v>
      </c>
      <c r="AB354">
        <v>0</v>
      </c>
      <c r="AC354">
        <v>0</v>
      </c>
      <c r="AD354">
        <v>0</v>
      </c>
      <c r="AE354">
        <v>0</v>
      </c>
    </row>
    <row r="355" spans="7:31" x14ac:dyDescent="0.3">
      <c r="G355" s="4" t="s">
        <v>419</v>
      </c>
      <c r="H355">
        <v>0</v>
      </c>
      <c r="I355">
        <v>0</v>
      </c>
      <c r="N355" s="4" t="s">
        <v>419</v>
      </c>
      <c r="O355">
        <v>0</v>
      </c>
      <c r="Q355" s="4" t="s">
        <v>419</v>
      </c>
      <c r="R355">
        <v>5000001</v>
      </c>
      <c r="AB355">
        <v>0</v>
      </c>
      <c r="AC355">
        <v>0</v>
      </c>
      <c r="AD355">
        <v>0</v>
      </c>
      <c r="AE355">
        <v>0</v>
      </c>
    </row>
    <row r="356" spans="7:31" x14ac:dyDescent="0.3">
      <c r="G356" s="4" t="s">
        <v>420</v>
      </c>
      <c r="H356">
        <v>0</v>
      </c>
      <c r="I356">
        <v>0</v>
      </c>
      <c r="N356" s="4" t="s">
        <v>420</v>
      </c>
      <c r="O356">
        <v>0</v>
      </c>
      <c r="Q356" s="4" t="s">
        <v>420</v>
      </c>
      <c r="R356">
        <v>5000001</v>
      </c>
      <c r="AB356">
        <v>0</v>
      </c>
      <c r="AC356">
        <v>0</v>
      </c>
      <c r="AD356">
        <v>0</v>
      </c>
      <c r="AE356">
        <v>0</v>
      </c>
    </row>
    <row r="357" spans="7:31" x14ac:dyDescent="0.3">
      <c r="G357" s="4" t="s">
        <v>421</v>
      </c>
      <c r="H357">
        <v>1</v>
      </c>
      <c r="I357">
        <v>0</v>
      </c>
      <c r="N357" s="4" t="s">
        <v>421</v>
      </c>
      <c r="O357">
        <v>18</v>
      </c>
      <c r="Q357" s="4" t="s">
        <v>421</v>
      </c>
      <c r="R357">
        <v>2729538</v>
      </c>
      <c r="AB357">
        <v>0</v>
      </c>
      <c r="AC357">
        <v>0</v>
      </c>
      <c r="AD357">
        <v>0</v>
      </c>
      <c r="AE357">
        <v>0</v>
      </c>
    </row>
    <row r="358" spans="7:31" x14ac:dyDescent="0.3">
      <c r="G358" s="4" t="s">
        <v>422</v>
      </c>
      <c r="H358">
        <v>1</v>
      </c>
      <c r="I358">
        <v>1</v>
      </c>
      <c r="N358" s="4" t="s">
        <v>422</v>
      </c>
      <c r="O358">
        <v>0</v>
      </c>
      <c r="Q358" s="4" t="s">
        <v>422</v>
      </c>
      <c r="R358">
        <v>5000001</v>
      </c>
      <c r="AB358">
        <v>0</v>
      </c>
      <c r="AC358">
        <v>0</v>
      </c>
      <c r="AD358">
        <v>0</v>
      </c>
      <c r="AE358">
        <v>0</v>
      </c>
    </row>
    <row r="359" spans="7:31" x14ac:dyDescent="0.3">
      <c r="G359" s="4" t="s">
        <v>423</v>
      </c>
      <c r="H359">
        <v>6</v>
      </c>
      <c r="I359">
        <v>0</v>
      </c>
      <c r="N359" s="4" t="s">
        <v>423</v>
      </c>
      <c r="O359">
        <v>561</v>
      </c>
      <c r="Q359" s="4" t="s">
        <v>423</v>
      </c>
      <c r="R359">
        <v>459600</v>
      </c>
      <c r="AB359">
        <v>0</v>
      </c>
      <c r="AC359">
        <v>0</v>
      </c>
      <c r="AD359">
        <v>0</v>
      </c>
      <c r="AE359">
        <v>0</v>
      </c>
    </row>
    <row r="360" spans="7:31" x14ac:dyDescent="0.3">
      <c r="G360" s="4" t="s">
        <v>424</v>
      </c>
      <c r="H360">
        <v>0</v>
      </c>
      <c r="I360">
        <v>0</v>
      </c>
      <c r="N360" s="4" t="s">
        <v>424</v>
      </c>
      <c r="O360">
        <v>0</v>
      </c>
      <c r="Q360" s="4" t="s">
        <v>424</v>
      </c>
      <c r="R360">
        <v>5000001</v>
      </c>
      <c r="AB360">
        <v>0</v>
      </c>
      <c r="AC360">
        <v>0</v>
      </c>
      <c r="AD360">
        <v>0</v>
      </c>
      <c r="AE360">
        <v>0</v>
      </c>
    </row>
    <row r="361" spans="7:31" x14ac:dyDescent="0.3">
      <c r="G361" s="4" t="s">
        <v>425</v>
      </c>
      <c r="H361">
        <v>1</v>
      </c>
      <c r="I361">
        <v>0</v>
      </c>
      <c r="N361" s="4" t="s">
        <v>425</v>
      </c>
      <c r="O361">
        <v>0</v>
      </c>
      <c r="Q361" s="4" t="s">
        <v>425</v>
      </c>
      <c r="R361">
        <v>5000001</v>
      </c>
      <c r="AB361">
        <v>0</v>
      </c>
      <c r="AC361">
        <v>0</v>
      </c>
      <c r="AD361">
        <v>0</v>
      </c>
      <c r="AE361">
        <v>0</v>
      </c>
    </row>
    <row r="362" spans="7:31" x14ac:dyDescent="0.3">
      <c r="G362" s="4" t="s">
        <v>426</v>
      </c>
      <c r="H362">
        <v>1</v>
      </c>
      <c r="I362">
        <v>0</v>
      </c>
      <c r="N362" s="4" t="s">
        <v>426</v>
      </c>
      <c r="O362">
        <v>4</v>
      </c>
      <c r="Q362" s="4" t="s">
        <v>426</v>
      </c>
      <c r="R362">
        <v>5000001</v>
      </c>
      <c r="AB362">
        <v>0</v>
      </c>
      <c r="AC362">
        <v>0</v>
      </c>
      <c r="AD362">
        <v>0</v>
      </c>
      <c r="AE362">
        <v>0</v>
      </c>
    </row>
    <row r="363" spans="7:31" x14ac:dyDescent="0.3">
      <c r="G363" s="4" t="s">
        <v>427</v>
      </c>
      <c r="H363">
        <v>0</v>
      </c>
      <c r="I363">
        <v>0</v>
      </c>
      <c r="N363" s="4" t="s">
        <v>427</v>
      </c>
      <c r="O363">
        <v>0</v>
      </c>
      <c r="Q363" s="4" t="s">
        <v>427</v>
      </c>
      <c r="R363">
        <v>5000001</v>
      </c>
      <c r="AB363">
        <v>0</v>
      </c>
      <c r="AC363">
        <v>0</v>
      </c>
      <c r="AD363">
        <v>0</v>
      </c>
      <c r="AE363">
        <v>0</v>
      </c>
    </row>
    <row r="364" spans="7:31" x14ac:dyDescent="0.3">
      <c r="G364" s="4" t="s">
        <v>428</v>
      </c>
      <c r="H364">
        <v>1</v>
      </c>
      <c r="I364">
        <v>0</v>
      </c>
      <c r="N364" s="4" t="s">
        <v>428</v>
      </c>
      <c r="O364">
        <v>233</v>
      </c>
      <c r="Q364" s="4" t="s">
        <v>428</v>
      </c>
      <c r="R364">
        <v>5000001</v>
      </c>
      <c r="AB364">
        <v>0</v>
      </c>
      <c r="AC364">
        <v>0</v>
      </c>
      <c r="AD364">
        <v>0</v>
      </c>
      <c r="AE364">
        <v>0</v>
      </c>
    </row>
    <row r="365" spans="7:31" x14ac:dyDescent="0.3">
      <c r="G365" s="4" t="s">
        <v>429</v>
      </c>
      <c r="H365">
        <v>3</v>
      </c>
      <c r="I365">
        <v>0</v>
      </c>
      <c r="N365" s="4" t="s">
        <v>429</v>
      </c>
      <c r="O365">
        <v>19</v>
      </c>
      <c r="Q365" s="4" t="s">
        <v>429</v>
      </c>
      <c r="R365">
        <v>5000001</v>
      </c>
      <c r="AB365">
        <v>0</v>
      </c>
      <c r="AC365">
        <v>0</v>
      </c>
      <c r="AD365">
        <v>0</v>
      </c>
      <c r="AE365">
        <v>0</v>
      </c>
    </row>
    <row r="366" spans="7:31" x14ac:dyDescent="0.3">
      <c r="G366" s="4" t="s">
        <v>430</v>
      </c>
      <c r="H366">
        <v>6</v>
      </c>
      <c r="I366">
        <v>0</v>
      </c>
      <c r="N366" s="4" t="s">
        <v>430</v>
      </c>
      <c r="O366">
        <v>221</v>
      </c>
      <c r="Q366" s="4" t="s">
        <v>430</v>
      </c>
      <c r="R366">
        <v>1015971</v>
      </c>
      <c r="AB366">
        <v>0</v>
      </c>
      <c r="AC366">
        <v>0</v>
      </c>
      <c r="AD366">
        <v>0</v>
      </c>
      <c r="AE366">
        <v>0</v>
      </c>
    </row>
    <row r="367" spans="7:31" x14ac:dyDescent="0.3">
      <c r="G367" s="4" t="s">
        <v>431</v>
      </c>
      <c r="H367">
        <v>0</v>
      </c>
      <c r="I367">
        <v>0</v>
      </c>
      <c r="N367" s="4" t="s">
        <v>431</v>
      </c>
      <c r="O367">
        <v>32</v>
      </c>
      <c r="Q367" s="4" t="s">
        <v>431</v>
      </c>
      <c r="R367">
        <v>2585173</v>
      </c>
      <c r="AB367">
        <v>0</v>
      </c>
      <c r="AC367">
        <v>0</v>
      </c>
      <c r="AD367">
        <v>0</v>
      </c>
      <c r="AE367">
        <v>0</v>
      </c>
    </row>
    <row r="368" spans="7:31" x14ac:dyDescent="0.3">
      <c r="G368" s="4" t="s">
        <v>432</v>
      </c>
      <c r="H368">
        <v>5</v>
      </c>
      <c r="I368">
        <v>1</v>
      </c>
      <c r="N368" s="4" t="s">
        <v>432</v>
      </c>
      <c r="O368">
        <v>228</v>
      </c>
      <c r="Q368" s="4" t="s">
        <v>432</v>
      </c>
      <c r="R368">
        <v>958791</v>
      </c>
      <c r="AB368">
        <v>0</v>
      </c>
      <c r="AC368">
        <v>0</v>
      </c>
      <c r="AD368">
        <v>0</v>
      </c>
      <c r="AE368">
        <v>0</v>
      </c>
    </row>
    <row r="369" spans="7:31" x14ac:dyDescent="0.3">
      <c r="G369" s="4" t="s">
        <v>433</v>
      </c>
      <c r="H369">
        <v>1</v>
      </c>
      <c r="I369">
        <v>0</v>
      </c>
      <c r="N369" s="4" t="s">
        <v>433</v>
      </c>
      <c r="O369">
        <v>0</v>
      </c>
      <c r="Q369" s="4" t="s">
        <v>433</v>
      </c>
      <c r="R369">
        <v>5000001</v>
      </c>
      <c r="AB369">
        <v>0</v>
      </c>
      <c r="AC369">
        <v>0</v>
      </c>
      <c r="AD369">
        <v>0</v>
      </c>
      <c r="AE369">
        <v>0</v>
      </c>
    </row>
    <row r="370" spans="7:31" x14ac:dyDescent="0.3">
      <c r="G370" s="4" t="s">
        <v>434</v>
      </c>
      <c r="H370">
        <v>0</v>
      </c>
      <c r="I370">
        <v>0</v>
      </c>
      <c r="N370" s="4" t="s">
        <v>434</v>
      </c>
      <c r="O370">
        <v>0</v>
      </c>
      <c r="Q370" s="4" t="s">
        <v>434</v>
      </c>
      <c r="R370">
        <v>5000001</v>
      </c>
      <c r="AB370">
        <v>0</v>
      </c>
      <c r="AC370">
        <v>0</v>
      </c>
      <c r="AD370">
        <v>0</v>
      </c>
      <c r="AE370">
        <v>0</v>
      </c>
    </row>
    <row r="371" spans="7:31" x14ac:dyDescent="0.3">
      <c r="G371" s="4" t="s">
        <v>435</v>
      </c>
      <c r="H371">
        <v>1</v>
      </c>
      <c r="I371">
        <v>0</v>
      </c>
      <c r="N371" s="4" t="s">
        <v>435</v>
      </c>
      <c r="O371">
        <v>0</v>
      </c>
      <c r="Q371" s="4" t="s">
        <v>435</v>
      </c>
      <c r="R371">
        <v>5000001</v>
      </c>
      <c r="AB371">
        <v>0</v>
      </c>
      <c r="AC371">
        <v>0</v>
      </c>
      <c r="AD371">
        <v>0</v>
      </c>
      <c r="AE371">
        <v>0</v>
      </c>
    </row>
    <row r="372" spans="7:31" x14ac:dyDescent="0.3">
      <c r="G372" s="4" t="s">
        <v>436</v>
      </c>
      <c r="H372">
        <v>0</v>
      </c>
      <c r="I372">
        <v>0</v>
      </c>
      <c r="N372" s="4" t="s">
        <v>436</v>
      </c>
      <c r="O372">
        <v>0</v>
      </c>
      <c r="Q372" s="4" t="s">
        <v>436</v>
      </c>
      <c r="R372">
        <v>5000001</v>
      </c>
      <c r="AB372">
        <v>0</v>
      </c>
      <c r="AC372">
        <v>0</v>
      </c>
      <c r="AD372">
        <v>0</v>
      </c>
      <c r="AE372">
        <v>0</v>
      </c>
    </row>
    <row r="373" spans="7:31" x14ac:dyDescent="0.3">
      <c r="G373" s="4" t="s">
        <v>437</v>
      </c>
      <c r="H373">
        <v>3</v>
      </c>
      <c r="I373">
        <v>1</v>
      </c>
      <c r="N373" s="4" t="s">
        <v>437</v>
      </c>
      <c r="O373">
        <v>18</v>
      </c>
      <c r="Q373" s="4" t="s">
        <v>437</v>
      </c>
      <c r="R373">
        <v>3764769</v>
      </c>
      <c r="AB373">
        <v>0</v>
      </c>
      <c r="AC373">
        <v>0</v>
      </c>
      <c r="AD373">
        <v>0</v>
      </c>
      <c r="AE373">
        <v>0</v>
      </c>
    </row>
    <row r="374" spans="7:31" x14ac:dyDescent="0.3">
      <c r="G374" s="4" t="s">
        <v>438</v>
      </c>
      <c r="H374">
        <v>0</v>
      </c>
      <c r="I374">
        <v>0</v>
      </c>
      <c r="N374" s="4" t="s">
        <v>438</v>
      </c>
      <c r="O374">
        <v>0</v>
      </c>
      <c r="Q374" s="4" t="s">
        <v>438</v>
      </c>
      <c r="R374">
        <v>5000001</v>
      </c>
      <c r="AB374">
        <v>0</v>
      </c>
      <c r="AC374">
        <v>0</v>
      </c>
      <c r="AD374">
        <v>0</v>
      </c>
      <c r="AE374">
        <v>0</v>
      </c>
    </row>
    <row r="375" spans="7:31" x14ac:dyDescent="0.3">
      <c r="G375" s="4" t="s">
        <v>439</v>
      </c>
      <c r="H375">
        <v>1</v>
      </c>
      <c r="I375">
        <v>0</v>
      </c>
      <c r="N375" s="4" t="s">
        <v>439</v>
      </c>
      <c r="O375">
        <v>0</v>
      </c>
      <c r="Q375" s="4" t="s">
        <v>439</v>
      </c>
      <c r="R375">
        <v>1031435</v>
      </c>
      <c r="AB375">
        <v>0</v>
      </c>
      <c r="AC375">
        <v>0</v>
      </c>
      <c r="AD375">
        <v>0</v>
      </c>
      <c r="AE375">
        <v>0</v>
      </c>
    </row>
    <row r="376" spans="7:31" x14ac:dyDescent="0.3">
      <c r="G376" s="4" t="s">
        <v>440</v>
      </c>
      <c r="H376">
        <v>0</v>
      </c>
      <c r="I376">
        <v>0</v>
      </c>
      <c r="N376" s="4" t="s">
        <v>440</v>
      </c>
      <c r="O376">
        <v>0</v>
      </c>
      <c r="Q376" s="4" t="s">
        <v>440</v>
      </c>
      <c r="R376">
        <v>5000001</v>
      </c>
      <c r="AB376">
        <v>0</v>
      </c>
      <c r="AC376">
        <v>0</v>
      </c>
      <c r="AD376">
        <v>0</v>
      </c>
      <c r="AE376">
        <v>0</v>
      </c>
    </row>
    <row r="377" spans="7:31" x14ac:dyDescent="0.3">
      <c r="G377" s="4" t="s">
        <v>441</v>
      </c>
      <c r="H377">
        <v>1</v>
      </c>
      <c r="I377">
        <v>0</v>
      </c>
      <c r="N377" s="4" t="s">
        <v>441</v>
      </c>
      <c r="O377">
        <v>0</v>
      </c>
      <c r="Q377" s="4" t="s">
        <v>441</v>
      </c>
      <c r="R377">
        <v>5000001</v>
      </c>
      <c r="AB377">
        <v>0</v>
      </c>
      <c r="AC377">
        <v>0</v>
      </c>
      <c r="AD377">
        <v>0</v>
      </c>
      <c r="AE377">
        <v>0</v>
      </c>
    </row>
    <row r="378" spans="7:31" x14ac:dyDescent="0.3">
      <c r="G378" s="4" t="s">
        <v>442</v>
      </c>
      <c r="H378">
        <v>0</v>
      </c>
      <c r="I378">
        <v>0</v>
      </c>
      <c r="N378" s="4" t="s">
        <v>442</v>
      </c>
      <c r="O378">
        <v>0</v>
      </c>
      <c r="Q378" s="4" t="s">
        <v>442</v>
      </c>
      <c r="R378">
        <v>5000001</v>
      </c>
      <c r="AB378">
        <v>0</v>
      </c>
      <c r="AC378">
        <v>0</v>
      </c>
      <c r="AD378">
        <v>0</v>
      </c>
      <c r="AE378">
        <v>0</v>
      </c>
    </row>
    <row r="379" spans="7:31" x14ac:dyDescent="0.3">
      <c r="G379" s="4" t="s">
        <v>443</v>
      </c>
      <c r="H379">
        <v>1</v>
      </c>
      <c r="I379">
        <v>0</v>
      </c>
      <c r="N379" s="4" t="s">
        <v>443</v>
      </c>
      <c r="O379">
        <v>0</v>
      </c>
      <c r="Q379" s="4" t="s">
        <v>443</v>
      </c>
      <c r="R379">
        <v>5000001</v>
      </c>
      <c r="AB379">
        <v>0</v>
      </c>
      <c r="AC379">
        <v>0</v>
      </c>
      <c r="AD379">
        <v>0</v>
      </c>
      <c r="AE379">
        <v>0</v>
      </c>
    </row>
    <row r="380" spans="7:31" x14ac:dyDescent="0.3">
      <c r="G380" s="4" t="s">
        <v>444</v>
      </c>
      <c r="H380">
        <v>0</v>
      </c>
      <c r="I380">
        <v>0</v>
      </c>
      <c r="N380" s="4" t="s">
        <v>444</v>
      </c>
      <c r="O380">
        <v>0</v>
      </c>
      <c r="Q380" s="4" t="s">
        <v>444</v>
      </c>
      <c r="R380">
        <v>5000001</v>
      </c>
      <c r="AB380">
        <v>0</v>
      </c>
      <c r="AC380">
        <v>0</v>
      </c>
      <c r="AD380">
        <v>0</v>
      </c>
      <c r="AE380">
        <v>0</v>
      </c>
    </row>
    <row r="381" spans="7:31" x14ac:dyDescent="0.3">
      <c r="G381" s="4" t="s">
        <v>445</v>
      </c>
      <c r="H381">
        <v>0</v>
      </c>
      <c r="I381">
        <v>0</v>
      </c>
      <c r="N381" s="4" t="s">
        <v>445</v>
      </c>
      <c r="O381">
        <v>0</v>
      </c>
      <c r="Q381" s="4" t="s">
        <v>445</v>
      </c>
      <c r="R381">
        <v>5000001</v>
      </c>
      <c r="AB381">
        <v>0</v>
      </c>
      <c r="AC381">
        <v>0</v>
      </c>
      <c r="AD381">
        <v>0</v>
      </c>
      <c r="AE381">
        <v>0</v>
      </c>
    </row>
    <row r="382" spans="7:31" x14ac:dyDescent="0.3">
      <c r="G382" s="4" t="s">
        <v>446</v>
      </c>
      <c r="H382">
        <v>0</v>
      </c>
      <c r="I382">
        <v>0</v>
      </c>
      <c r="N382" s="4" t="s">
        <v>446</v>
      </c>
      <c r="O382">
        <v>0</v>
      </c>
      <c r="Q382" s="4" t="s">
        <v>446</v>
      </c>
      <c r="R382">
        <v>5000001</v>
      </c>
      <c r="AB382">
        <v>0</v>
      </c>
      <c r="AC382">
        <v>0</v>
      </c>
      <c r="AD382">
        <v>0</v>
      </c>
      <c r="AE382">
        <v>0</v>
      </c>
    </row>
    <row r="383" spans="7:31" x14ac:dyDescent="0.3">
      <c r="G383" s="4" t="s">
        <v>447</v>
      </c>
      <c r="H383">
        <v>1</v>
      </c>
      <c r="I383">
        <v>0</v>
      </c>
      <c r="N383" s="4" t="s">
        <v>447</v>
      </c>
      <c r="O383">
        <v>0</v>
      </c>
      <c r="Q383" s="4" t="s">
        <v>447</v>
      </c>
      <c r="R383">
        <v>5000001</v>
      </c>
      <c r="AB383">
        <v>0</v>
      </c>
      <c r="AC383">
        <v>0</v>
      </c>
      <c r="AD383">
        <v>0</v>
      </c>
      <c r="AE383">
        <v>0</v>
      </c>
    </row>
    <row r="384" spans="7:31" x14ac:dyDescent="0.3">
      <c r="G384" s="4" t="s">
        <v>448</v>
      </c>
      <c r="H384">
        <v>2</v>
      </c>
      <c r="I384">
        <v>0</v>
      </c>
      <c r="N384" s="4" t="s">
        <v>448</v>
      </c>
      <c r="O384">
        <v>0</v>
      </c>
      <c r="Q384" s="4" t="s">
        <v>448</v>
      </c>
      <c r="R384">
        <v>5000001</v>
      </c>
      <c r="AB384">
        <v>0</v>
      </c>
      <c r="AC384">
        <v>0</v>
      </c>
      <c r="AD384">
        <v>0</v>
      </c>
      <c r="AE384">
        <v>0</v>
      </c>
    </row>
    <row r="385" spans="7:31" x14ac:dyDescent="0.3">
      <c r="G385" s="4" t="s">
        <v>449</v>
      </c>
      <c r="H385">
        <v>0</v>
      </c>
      <c r="I385">
        <v>0</v>
      </c>
      <c r="N385" s="4" t="s">
        <v>449</v>
      </c>
      <c r="O385">
        <v>0</v>
      </c>
      <c r="Q385" s="4" t="s">
        <v>449</v>
      </c>
      <c r="R385">
        <v>5000001</v>
      </c>
      <c r="AB385">
        <v>0</v>
      </c>
      <c r="AC385">
        <v>0</v>
      </c>
      <c r="AD385">
        <v>0</v>
      </c>
      <c r="AE385">
        <v>0</v>
      </c>
    </row>
    <row r="386" spans="7:31" x14ac:dyDescent="0.3">
      <c r="G386" s="4" t="s">
        <v>450</v>
      </c>
      <c r="H386">
        <v>0</v>
      </c>
      <c r="I386">
        <v>0</v>
      </c>
      <c r="N386" s="4" t="s">
        <v>450</v>
      </c>
      <c r="O386">
        <v>52</v>
      </c>
      <c r="Q386" s="4" t="s">
        <v>450</v>
      </c>
      <c r="R386">
        <v>5000001</v>
      </c>
      <c r="AB386">
        <v>0</v>
      </c>
      <c r="AC386">
        <v>0</v>
      </c>
      <c r="AD386">
        <v>0</v>
      </c>
      <c r="AE386">
        <v>0</v>
      </c>
    </row>
    <row r="387" spans="7:31" x14ac:dyDescent="0.3">
      <c r="G387" s="4" t="s">
        <v>451</v>
      </c>
      <c r="H387">
        <v>1</v>
      </c>
      <c r="I387">
        <v>0</v>
      </c>
      <c r="N387" s="4" t="s">
        <v>451</v>
      </c>
      <c r="O387">
        <v>0</v>
      </c>
      <c r="Q387" s="4" t="s">
        <v>451</v>
      </c>
      <c r="R387">
        <v>5000001</v>
      </c>
      <c r="AB387">
        <v>0</v>
      </c>
      <c r="AC387">
        <v>0</v>
      </c>
      <c r="AD387">
        <v>0</v>
      </c>
      <c r="AE387">
        <v>0</v>
      </c>
    </row>
    <row r="388" spans="7:31" x14ac:dyDescent="0.3">
      <c r="G388" s="4" t="s">
        <v>452</v>
      </c>
      <c r="H388">
        <v>1</v>
      </c>
      <c r="I388">
        <v>0</v>
      </c>
      <c r="N388" s="4" t="s">
        <v>452</v>
      </c>
      <c r="O388">
        <v>0</v>
      </c>
      <c r="Q388" s="4" t="s">
        <v>452</v>
      </c>
      <c r="R388">
        <v>5000001</v>
      </c>
      <c r="AB388">
        <v>0</v>
      </c>
      <c r="AC388">
        <v>0</v>
      </c>
      <c r="AD388">
        <v>0</v>
      </c>
      <c r="AE388">
        <v>0</v>
      </c>
    </row>
    <row r="389" spans="7:31" x14ac:dyDescent="0.3">
      <c r="G389" s="4" t="s">
        <v>453</v>
      </c>
      <c r="H389">
        <v>0</v>
      </c>
      <c r="I389">
        <v>0</v>
      </c>
      <c r="N389" s="4" t="s">
        <v>453</v>
      </c>
      <c r="O389">
        <v>0</v>
      </c>
      <c r="Q389" s="4" t="s">
        <v>453</v>
      </c>
      <c r="R389">
        <v>5000001</v>
      </c>
      <c r="AB389">
        <v>0</v>
      </c>
      <c r="AC389">
        <v>0</v>
      </c>
      <c r="AD389">
        <v>0</v>
      </c>
      <c r="AE389">
        <v>0</v>
      </c>
    </row>
    <row r="390" spans="7:31" x14ac:dyDescent="0.3">
      <c r="G390" s="4" t="s">
        <v>454</v>
      </c>
      <c r="H390">
        <v>2</v>
      </c>
      <c r="I390">
        <v>0</v>
      </c>
      <c r="N390" s="4" t="s">
        <v>454</v>
      </c>
      <c r="O390">
        <v>0</v>
      </c>
      <c r="Q390" s="4" t="s">
        <v>454</v>
      </c>
      <c r="R390">
        <v>5000001</v>
      </c>
      <c r="AB390">
        <v>0</v>
      </c>
      <c r="AC390">
        <v>0</v>
      </c>
      <c r="AD390">
        <v>0</v>
      </c>
      <c r="AE390">
        <v>0</v>
      </c>
    </row>
    <row r="391" spans="7:31" x14ac:dyDescent="0.3">
      <c r="G391" s="4" t="s">
        <v>455</v>
      </c>
      <c r="H391">
        <v>2</v>
      </c>
      <c r="I391">
        <v>0</v>
      </c>
      <c r="N391" s="4" t="s">
        <v>455</v>
      </c>
      <c r="O391">
        <v>0</v>
      </c>
      <c r="Q391" s="4" t="s">
        <v>455</v>
      </c>
      <c r="R391">
        <v>5000001</v>
      </c>
      <c r="AB391">
        <v>0</v>
      </c>
      <c r="AC391">
        <v>0</v>
      </c>
      <c r="AD391">
        <v>0</v>
      </c>
      <c r="AE391">
        <v>0</v>
      </c>
    </row>
    <row r="392" spans="7:31" x14ac:dyDescent="0.3">
      <c r="G392" s="4" t="s">
        <v>456</v>
      </c>
      <c r="H392">
        <v>0</v>
      </c>
      <c r="I392">
        <v>0</v>
      </c>
      <c r="N392" s="4" t="s">
        <v>456</v>
      </c>
      <c r="O392">
        <v>8</v>
      </c>
      <c r="Q392" s="4" t="s">
        <v>456</v>
      </c>
      <c r="R392">
        <v>5000001</v>
      </c>
      <c r="AB392">
        <v>0</v>
      </c>
      <c r="AC392">
        <v>0</v>
      </c>
      <c r="AD392">
        <v>0</v>
      </c>
      <c r="AE392">
        <v>0</v>
      </c>
    </row>
    <row r="393" spans="7:31" x14ac:dyDescent="0.3">
      <c r="G393" s="4" t="s">
        <v>457</v>
      </c>
      <c r="H393">
        <v>1</v>
      </c>
      <c r="I393">
        <v>0</v>
      </c>
      <c r="N393" s="4" t="s">
        <v>457</v>
      </c>
      <c r="O393">
        <v>0</v>
      </c>
      <c r="Q393" s="4" t="s">
        <v>457</v>
      </c>
      <c r="R393">
        <v>5000001</v>
      </c>
      <c r="AB393">
        <v>0</v>
      </c>
      <c r="AC393">
        <v>0</v>
      </c>
      <c r="AD393">
        <v>0</v>
      </c>
      <c r="AE393">
        <v>0</v>
      </c>
    </row>
    <row r="394" spans="7:31" x14ac:dyDescent="0.3">
      <c r="G394" s="4" t="s">
        <v>458</v>
      </c>
      <c r="H394">
        <v>1</v>
      </c>
      <c r="I394">
        <v>0</v>
      </c>
      <c r="N394" s="4" t="s">
        <v>458</v>
      </c>
      <c r="O394">
        <v>0</v>
      </c>
      <c r="Q394" s="4" t="s">
        <v>458</v>
      </c>
      <c r="R394">
        <v>5000001</v>
      </c>
      <c r="AB394">
        <v>0</v>
      </c>
      <c r="AC394">
        <v>0</v>
      </c>
      <c r="AD394">
        <v>0</v>
      </c>
      <c r="AE394">
        <v>0</v>
      </c>
    </row>
    <row r="395" spans="7:31" x14ac:dyDescent="0.3">
      <c r="G395" s="4" t="s">
        <v>459</v>
      </c>
      <c r="H395">
        <v>5</v>
      </c>
      <c r="I395">
        <v>1</v>
      </c>
      <c r="N395" s="4" t="s">
        <v>459</v>
      </c>
      <c r="O395">
        <v>85</v>
      </c>
      <c r="Q395" s="4" t="s">
        <v>459</v>
      </c>
      <c r="R395">
        <v>846181</v>
      </c>
      <c r="AB395">
        <v>0</v>
      </c>
      <c r="AC395">
        <v>0</v>
      </c>
      <c r="AD395">
        <v>0</v>
      </c>
      <c r="AE395">
        <v>0</v>
      </c>
    </row>
    <row r="396" spans="7:31" x14ac:dyDescent="0.3">
      <c r="G396" s="4" t="s">
        <v>460</v>
      </c>
      <c r="H396">
        <v>6</v>
      </c>
      <c r="I396">
        <v>2</v>
      </c>
      <c r="N396" s="4" t="s">
        <v>460</v>
      </c>
      <c r="O396">
        <v>196</v>
      </c>
      <c r="Q396" s="4" t="s">
        <v>460</v>
      </c>
      <c r="R396">
        <v>912265</v>
      </c>
      <c r="AB396">
        <v>0</v>
      </c>
      <c r="AC396">
        <v>0</v>
      </c>
      <c r="AD396">
        <v>0</v>
      </c>
      <c r="AE396">
        <v>0</v>
      </c>
    </row>
    <row r="397" spans="7:31" x14ac:dyDescent="0.3">
      <c r="G397" s="4" t="s">
        <v>461</v>
      </c>
      <c r="H397">
        <v>5</v>
      </c>
      <c r="I397">
        <v>2</v>
      </c>
      <c r="N397" s="4" t="s">
        <v>461</v>
      </c>
      <c r="O397">
        <v>76</v>
      </c>
      <c r="Q397" s="4" t="s">
        <v>461</v>
      </c>
      <c r="R397">
        <v>1054255</v>
      </c>
      <c r="AB397">
        <v>0</v>
      </c>
      <c r="AC397">
        <v>0</v>
      </c>
      <c r="AD397">
        <v>0</v>
      </c>
      <c r="AE397">
        <v>0</v>
      </c>
    </row>
    <row r="398" spans="7:31" x14ac:dyDescent="0.3">
      <c r="G398" s="4" t="s">
        <v>462</v>
      </c>
      <c r="H398">
        <v>3</v>
      </c>
      <c r="I398">
        <v>2</v>
      </c>
      <c r="N398" s="4" t="s">
        <v>462</v>
      </c>
      <c r="O398">
        <v>0</v>
      </c>
      <c r="Q398" s="4" t="s">
        <v>462</v>
      </c>
      <c r="R398">
        <v>3292306</v>
      </c>
      <c r="AB398">
        <v>0</v>
      </c>
      <c r="AC398">
        <v>0</v>
      </c>
      <c r="AD398">
        <v>0</v>
      </c>
      <c r="AE398">
        <v>0</v>
      </c>
    </row>
    <row r="399" spans="7:31" x14ac:dyDescent="0.3">
      <c r="G399" s="4" t="s">
        <v>463</v>
      </c>
      <c r="H399">
        <v>6</v>
      </c>
      <c r="I399">
        <v>2</v>
      </c>
      <c r="N399" s="4" t="s">
        <v>463</v>
      </c>
      <c r="O399">
        <v>0</v>
      </c>
      <c r="Q399" s="4" t="s">
        <v>463</v>
      </c>
      <c r="R399">
        <v>2627286</v>
      </c>
      <c r="AB399">
        <v>0</v>
      </c>
      <c r="AC399">
        <v>0</v>
      </c>
      <c r="AD399">
        <v>0</v>
      </c>
      <c r="AE399">
        <v>0</v>
      </c>
    </row>
    <row r="400" spans="7:31" x14ac:dyDescent="0.3">
      <c r="G400" s="4" t="s">
        <v>464</v>
      </c>
      <c r="H400">
        <v>4</v>
      </c>
      <c r="I400">
        <v>2</v>
      </c>
      <c r="N400" s="4" t="s">
        <v>464</v>
      </c>
      <c r="O400">
        <v>0</v>
      </c>
      <c r="Q400" s="4" t="s">
        <v>464</v>
      </c>
      <c r="R400">
        <v>2725137</v>
      </c>
      <c r="AB400">
        <v>0</v>
      </c>
      <c r="AC400">
        <v>0</v>
      </c>
      <c r="AD400">
        <v>0</v>
      </c>
      <c r="AE400">
        <v>0</v>
      </c>
    </row>
    <row r="401" spans="7:31" x14ac:dyDescent="0.3">
      <c r="G401" s="4" t="s">
        <v>465</v>
      </c>
      <c r="H401">
        <v>2</v>
      </c>
      <c r="I401">
        <v>2</v>
      </c>
      <c r="N401" s="4" t="s">
        <v>465</v>
      </c>
      <c r="O401">
        <v>8</v>
      </c>
      <c r="Q401" s="4" t="s">
        <v>465</v>
      </c>
      <c r="R401">
        <v>2540826</v>
      </c>
      <c r="AB401">
        <v>0</v>
      </c>
      <c r="AC401">
        <v>0</v>
      </c>
      <c r="AD401">
        <v>0</v>
      </c>
      <c r="AE401">
        <v>0</v>
      </c>
    </row>
    <row r="402" spans="7:31" x14ac:dyDescent="0.3">
      <c r="G402" s="4" t="s">
        <v>466</v>
      </c>
      <c r="H402">
        <v>3</v>
      </c>
      <c r="I402">
        <v>0</v>
      </c>
      <c r="N402" s="4" t="s">
        <v>466</v>
      </c>
      <c r="O402">
        <v>2</v>
      </c>
      <c r="Q402" s="4" t="s">
        <v>466</v>
      </c>
      <c r="R402">
        <v>1794104</v>
      </c>
      <c r="AB402">
        <v>0</v>
      </c>
      <c r="AC402">
        <v>0</v>
      </c>
      <c r="AD402">
        <v>0</v>
      </c>
      <c r="AE402">
        <v>0</v>
      </c>
    </row>
    <row r="403" spans="7:31" x14ac:dyDescent="0.3">
      <c r="G403" s="4" t="s">
        <v>467</v>
      </c>
      <c r="H403">
        <v>2</v>
      </c>
      <c r="I403">
        <v>2</v>
      </c>
      <c r="N403" s="4" t="s">
        <v>467</v>
      </c>
      <c r="O403">
        <v>117</v>
      </c>
      <c r="Q403" s="4" t="s">
        <v>467</v>
      </c>
      <c r="R403">
        <v>1031296</v>
      </c>
      <c r="AB403">
        <v>0</v>
      </c>
      <c r="AC403">
        <v>0</v>
      </c>
      <c r="AD403">
        <v>0</v>
      </c>
      <c r="AE403">
        <v>0</v>
      </c>
    </row>
    <row r="404" spans="7:31" x14ac:dyDescent="0.3">
      <c r="G404" s="4" t="s">
        <v>468</v>
      </c>
      <c r="H404">
        <v>4</v>
      </c>
      <c r="I404">
        <v>2</v>
      </c>
      <c r="N404" s="4" t="s">
        <v>468</v>
      </c>
      <c r="O404">
        <v>0</v>
      </c>
      <c r="Q404" s="4" t="s">
        <v>468</v>
      </c>
      <c r="R404">
        <v>2010075</v>
      </c>
      <c r="AB404">
        <v>0</v>
      </c>
      <c r="AC404">
        <v>0</v>
      </c>
      <c r="AD404">
        <v>0</v>
      </c>
      <c r="AE404">
        <v>0</v>
      </c>
    </row>
    <row r="405" spans="7:31" x14ac:dyDescent="0.3">
      <c r="G405" s="4" t="s">
        <v>470</v>
      </c>
      <c r="H405">
        <v>6</v>
      </c>
      <c r="I405">
        <v>3</v>
      </c>
      <c r="N405" s="4" t="s">
        <v>470</v>
      </c>
      <c r="O405">
        <v>182</v>
      </c>
      <c r="Q405" s="4" t="s">
        <v>470</v>
      </c>
      <c r="R405">
        <v>500841</v>
      </c>
      <c r="AB405">
        <v>0</v>
      </c>
      <c r="AC405">
        <v>0</v>
      </c>
      <c r="AD405">
        <v>0</v>
      </c>
      <c r="AE405">
        <v>0</v>
      </c>
    </row>
    <row r="406" spans="7:31" x14ac:dyDescent="0.3">
      <c r="G406" s="4" t="s">
        <v>471</v>
      </c>
      <c r="H406">
        <v>4</v>
      </c>
      <c r="I406">
        <v>3</v>
      </c>
      <c r="N406" s="4" t="s">
        <v>471</v>
      </c>
      <c r="O406">
        <v>167</v>
      </c>
      <c r="Q406" s="4" t="s">
        <v>471</v>
      </c>
      <c r="R406">
        <v>644465</v>
      </c>
      <c r="AB406">
        <v>0</v>
      </c>
      <c r="AC406">
        <v>0</v>
      </c>
      <c r="AD406">
        <v>0</v>
      </c>
      <c r="AE406">
        <v>0</v>
      </c>
    </row>
    <row r="407" spans="7:31" x14ac:dyDescent="0.3">
      <c r="G407" s="4" t="s">
        <v>472</v>
      </c>
      <c r="H407">
        <v>0</v>
      </c>
      <c r="I407">
        <v>0</v>
      </c>
      <c r="N407" s="4" t="s">
        <v>472</v>
      </c>
      <c r="O407">
        <v>0</v>
      </c>
      <c r="Q407" s="4" t="s">
        <v>472</v>
      </c>
      <c r="R407">
        <v>5000001</v>
      </c>
      <c r="AB407">
        <v>0</v>
      </c>
      <c r="AC407">
        <v>0</v>
      </c>
      <c r="AD407">
        <v>0</v>
      </c>
      <c r="AE407">
        <v>0</v>
      </c>
    </row>
    <row r="408" spans="7:31" x14ac:dyDescent="0.3">
      <c r="G408" s="4" t="s">
        <v>473</v>
      </c>
      <c r="H408">
        <v>6</v>
      </c>
      <c r="I408">
        <v>2</v>
      </c>
      <c r="N408" s="4" t="s">
        <v>473</v>
      </c>
      <c r="O408">
        <v>207</v>
      </c>
      <c r="Q408" s="4" t="s">
        <v>473</v>
      </c>
      <c r="R408">
        <v>1246245</v>
      </c>
      <c r="AB408">
        <v>0</v>
      </c>
      <c r="AC408">
        <v>0</v>
      </c>
      <c r="AD408">
        <v>0</v>
      </c>
      <c r="AE408">
        <v>0</v>
      </c>
    </row>
    <row r="409" spans="7:31" x14ac:dyDescent="0.3">
      <c r="G409" s="4" t="s">
        <v>474</v>
      </c>
      <c r="H409">
        <v>6</v>
      </c>
      <c r="I409">
        <v>2</v>
      </c>
      <c r="N409" s="4" t="s">
        <v>474</v>
      </c>
      <c r="O409">
        <v>573</v>
      </c>
      <c r="Q409" s="4" t="s">
        <v>474</v>
      </c>
      <c r="R409">
        <v>189038</v>
      </c>
      <c r="AB409">
        <v>0</v>
      </c>
      <c r="AC409">
        <v>0</v>
      </c>
      <c r="AD409">
        <v>0</v>
      </c>
      <c r="AE409">
        <v>0</v>
      </c>
    </row>
    <row r="410" spans="7:31" x14ac:dyDescent="0.3">
      <c r="G410" s="4" t="s">
        <v>475</v>
      </c>
      <c r="H410">
        <v>2</v>
      </c>
      <c r="I410">
        <v>2</v>
      </c>
      <c r="N410" s="4" t="s">
        <v>475</v>
      </c>
      <c r="O410">
        <v>0</v>
      </c>
      <c r="Q410" s="4" t="s">
        <v>475</v>
      </c>
      <c r="R410">
        <v>1929671</v>
      </c>
      <c r="AB410">
        <v>0</v>
      </c>
      <c r="AC410">
        <v>0</v>
      </c>
      <c r="AD410">
        <v>0</v>
      </c>
      <c r="AE410">
        <v>0</v>
      </c>
    </row>
    <row r="411" spans="7:31" x14ac:dyDescent="0.3">
      <c r="G411" s="4" t="s">
        <v>476</v>
      </c>
      <c r="H411">
        <v>4</v>
      </c>
      <c r="I411">
        <v>2</v>
      </c>
      <c r="N411" s="4" t="s">
        <v>476</v>
      </c>
      <c r="O411">
        <v>12</v>
      </c>
      <c r="Q411" s="4" t="s">
        <v>476</v>
      </c>
      <c r="R411">
        <v>2060662</v>
      </c>
      <c r="AB411">
        <v>0</v>
      </c>
      <c r="AC411">
        <v>0</v>
      </c>
      <c r="AD411">
        <v>0</v>
      </c>
      <c r="AE411">
        <v>0</v>
      </c>
    </row>
    <row r="412" spans="7:31" x14ac:dyDescent="0.3">
      <c r="G412" s="4" t="s">
        <v>477</v>
      </c>
      <c r="H412">
        <v>6</v>
      </c>
      <c r="I412">
        <v>2</v>
      </c>
      <c r="N412" s="4" t="s">
        <v>477</v>
      </c>
      <c r="O412">
        <v>202</v>
      </c>
      <c r="Q412" s="4" t="s">
        <v>477</v>
      </c>
      <c r="R412">
        <v>604261</v>
      </c>
      <c r="AB412">
        <v>0</v>
      </c>
      <c r="AC412">
        <v>0</v>
      </c>
      <c r="AD412">
        <v>0</v>
      </c>
      <c r="AE412">
        <v>0</v>
      </c>
    </row>
    <row r="413" spans="7:31" x14ac:dyDescent="0.3">
      <c r="G413" s="4" t="s">
        <v>478</v>
      </c>
      <c r="H413">
        <v>4</v>
      </c>
      <c r="I413">
        <v>2</v>
      </c>
      <c r="N413" s="4" t="s">
        <v>478</v>
      </c>
      <c r="O413">
        <v>3</v>
      </c>
      <c r="Q413" s="4" t="s">
        <v>478</v>
      </c>
      <c r="R413">
        <v>2379254</v>
      </c>
      <c r="AB413">
        <v>0</v>
      </c>
      <c r="AC413">
        <v>0</v>
      </c>
      <c r="AD413">
        <v>0</v>
      </c>
      <c r="AE413">
        <v>0</v>
      </c>
    </row>
    <row r="414" spans="7:31" x14ac:dyDescent="0.3">
      <c r="G414" s="4" t="s">
        <v>479</v>
      </c>
      <c r="H414">
        <v>6</v>
      </c>
      <c r="I414">
        <v>3</v>
      </c>
      <c r="N414" s="4" t="s">
        <v>479</v>
      </c>
      <c r="O414">
        <v>330</v>
      </c>
      <c r="Q414" s="4" t="s">
        <v>479</v>
      </c>
      <c r="R414">
        <v>618867</v>
      </c>
      <c r="AB414">
        <v>0</v>
      </c>
      <c r="AC414">
        <v>0</v>
      </c>
      <c r="AD414">
        <v>0</v>
      </c>
      <c r="AE414">
        <v>0</v>
      </c>
    </row>
    <row r="415" spans="7:31" x14ac:dyDescent="0.3">
      <c r="G415" s="4" t="s">
        <v>480</v>
      </c>
      <c r="H415">
        <v>6</v>
      </c>
      <c r="I415">
        <v>2</v>
      </c>
      <c r="N415" s="4" t="s">
        <v>480</v>
      </c>
      <c r="O415">
        <v>69</v>
      </c>
      <c r="Q415" s="4" t="s">
        <v>480</v>
      </c>
      <c r="R415">
        <v>869516</v>
      </c>
      <c r="AB415">
        <v>0</v>
      </c>
      <c r="AC415">
        <v>0</v>
      </c>
      <c r="AD415">
        <v>0</v>
      </c>
      <c r="AE415">
        <v>0</v>
      </c>
    </row>
    <row r="416" spans="7:31" x14ac:dyDescent="0.3">
      <c r="G416" s="4" t="s">
        <v>481</v>
      </c>
      <c r="H416">
        <v>6</v>
      </c>
      <c r="I416">
        <v>2</v>
      </c>
      <c r="N416" s="4" t="s">
        <v>481</v>
      </c>
      <c r="O416">
        <v>127</v>
      </c>
      <c r="Q416" s="4" t="s">
        <v>481</v>
      </c>
      <c r="R416">
        <v>1138933</v>
      </c>
      <c r="AB416">
        <v>0</v>
      </c>
      <c r="AC416">
        <v>0</v>
      </c>
      <c r="AD416">
        <v>0</v>
      </c>
      <c r="AE416">
        <v>0</v>
      </c>
    </row>
    <row r="417" spans="7:31" x14ac:dyDescent="0.3">
      <c r="G417" s="4" t="s">
        <v>482</v>
      </c>
      <c r="H417">
        <v>6</v>
      </c>
      <c r="I417">
        <v>2</v>
      </c>
      <c r="N417" s="4" t="s">
        <v>482</v>
      </c>
      <c r="O417">
        <v>114</v>
      </c>
      <c r="Q417" s="4" t="s">
        <v>482</v>
      </c>
      <c r="R417">
        <v>931783</v>
      </c>
      <c r="AB417">
        <v>0</v>
      </c>
      <c r="AC417">
        <v>0</v>
      </c>
      <c r="AD417">
        <v>0</v>
      </c>
      <c r="AE417">
        <v>0</v>
      </c>
    </row>
    <row r="418" spans="7:31" x14ac:dyDescent="0.3">
      <c r="G418" s="4" t="s">
        <v>483</v>
      </c>
      <c r="H418">
        <v>6</v>
      </c>
      <c r="I418">
        <v>3</v>
      </c>
      <c r="N418" s="4" t="s">
        <v>483</v>
      </c>
      <c r="O418">
        <v>74</v>
      </c>
      <c r="Q418" s="4" t="s">
        <v>483</v>
      </c>
      <c r="R418">
        <v>887408</v>
      </c>
      <c r="AB418">
        <v>0</v>
      </c>
      <c r="AC418">
        <v>0</v>
      </c>
      <c r="AD418">
        <v>0</v>
      </c>
      <c r="AE418">
        <v>0</v>
      </c>
    </row>
    <row r="419" spans="7:31" x14ac:dyDescent="0.3">
      <c r="G419" s="4" t="s">
        <v>484</v>
      </c>
      <c r="H419">
        <v>5</v>
      </c>
      <c r="I419">
        <v>2</v>
      </c>
      <c r="N419" s="4" t="s">
        <v>484</v>
      </c>
      <c r="O419">
        <v>52</v>
      </c>
      <c r="Q419" s="4" t="s">
        <v>484</v>
      </c>
      <c r="R419">
        <v>1031063</v>
      </c>
      <c r="AB419">
        <v>0</v>
      </c>
      <c r="AC419">
        <v>0</v>
      </c>
      <c r="AD419">
        <v>0</v>
      </c>
      <c r="AE419">
        <v>0</v>
      </c>
    </row>
    <row r="420" spans="7:31" x14ac:dyDescent="0.3">
      <c r="G420" s="4" t="s">
        <v>485</v>
      </c>
      <c r="H420">
        <v>4</v>
      </c>
      <c r="I420">
        <v>2</v>
      </c>
      <c r="N420" s="4" t="s">
        <v>485</v>
      </c>
      <c r="O420">
        <v>2</v>
      </c>
      <c r="Q420" s="4" t="s">
        <v>485</v>
      </c>
      <c r="R420">
        <v>5000001</v>
      </c>
      <c r="AB420">
        <v>0</v>
      </c>
      <c r="AC420">
        <v>0</v>
      </c>
      <c r="AD420">
        <v>0</v>
      </c>
      <c r="AE420">
        <v>0</v>
      </c>
    </row>
    <row r="421" spans="7:31" x14ac:dyDescent="0.3">
      <c r="G421" s="4" t="s">
        <v>486</v>
      </c>
      <c r="H421">
        <v>4</v>
      </c>
      <c r="I421">
        <v>2</v>
      </c>
      <c r="N421" s="4" t="s">
        <v>486</v>
      </c>
      <c r="O421">
        <v>4</v>
      </c>
      <c r="Q421" s="4" t="s">
        <v>486</v>
      </c>
      <c r="R421">
        <v>636968</v>
      </c>
      <c r="AB421">
        <v>0</v>
      </c>
      <c r="AC421">
        <v>0</v>
      </c>
      <c r="AD421">
        <v>0</v>
      </c>
      <c r="AE421">
        <v>0</v>
      </c>
    </row>
    <row r="422" spans="7:31" x14ac:dyDescent="0.3">
      <c r="G422" s="4" t="s">
        <v>487</v>
      </c>
      <c r="H422">
        <v>4</v>
      </c>
      <c r="I422">
        <v>0</v>
      </c>
      <c r="N422" s="4" t="s">
        <v>487</v>
      </c>
      <c r="O422">
        <v>0</v>
      </c>
      <c r="Q422" s="4" t="s">
        <v>487</v>
      </c>
      <c r="R422">
        <v>4658475</v>
      </c>
      <c r="AB422">
        <v>0</v>
      </c>
      <c r="AC422">
        <v>0</v>
      </c>
      <c r="AD422">
        <v>0</v>
      </c>
      <c r="AE422">
        <v>0</v>
      </c>
    </row>
    <row r="423" spans="7:31" x14ac:dyDescent="0.3">
      <c r="G423" s="4" t="s">
        <v>488</v>
      </c>
      <c r="H423">
        <v>2</v>
      </c>
      <c r="I423">
        <v>2</v>
      </c>
      <c r="N423" s="4" t="s">
        <v>488</v>
      </c>
      <c r="O423">
        <v>0</v>
      </c>
      <c r="Q423" s="4" t="s">
        <v>488</v>
      </c>
      <c r="R423">
        <v>2948218</v>
      </c>
      <c r="AB423">
        <v>0</v>
      </c>
      <c r="AC423">
        <v>0</v>
      </c>
      <c r="AD423">
        <v>0</v>
      </c>
      <c r="AE423">
        <v>0</v>
      </c>
    </row>
    <row r="424" spans="7:31" x14ac:dyDescent="0.3">
      <c r="G424" s="4" t="s">
        <v>489</v>
      </c>
      <c r="H424">
        <v>5</v>
      </c>
      <c r="I424">
        <v>1</v>
      </c>
      <c r="N424" s="4" t="s">
        <v>489</v>
      </c>
      <c r="O424">
        <v>0</v>
      </c>
      <c r="Q424" s="4" t="s">
        <v>489</v>
      </c>
      <c r="R424">
        <v>2271006</v>
      </c>
      <c r="AB424">
        <v>0</v>
      </c>
      <c r="AC424">
        <v>0</v>
      </c>
      <c r="AD424">
        <v>0</v>
      </c>
      <c r="AE424">
        <v>0</v>
      </c>
    </row>
    <row r="425" spans="7:31" x14ac:dyDescent="0.3">
      <c r="G425" s="4" t="s">
        <v>490</v>
      </c>
      <c r="H425">
        <v>6</v>
      </c>
      <c r="I425">
        <v>2</v>
      </c>
      <c r="N425" s="4" t="s">
        <v>490</v>
      </c>
      <c r="O425">
        <v>112</v>
      </c>
      <c r="Q425" s="4" t="s">
        <v>490</v>
      </c>
      <c r="R425">
        <v>1577272</v>
      </c>
      <c r="AB425">
        <v>0</v>
      </c>
      <c r="AC425">
        <v>0</v>
      </c>
      <c r="AD425">
        <v>0</v>
      </c>
      <c r="AE425">
        <v>0</v>
      </c>
    </row>
    <row r="426" spans="7:31" x14ac:dyDescent="0.3">
      <c r="G426" s="4" t="s">
        <v>491</v>
      </c>
      <c r="H426">
        <v>4</v>
      </c>
      <c r="I426">
        <v>3</v>
      </c>
      <c r="N426" s="4" t="s">
        <v>491</v>
      </c>
      <c r="O426">
        <v>0</v>
      </c>
      <c r="Q426" s="4" t="s">
        <v>491</v>
      </c>
      <c r="R426">
        <v>1660549</v>
      </c>
      <c r="AB426">
        <v>0</v>
      </c>
      <c r="AC426">
        <v>0</v>
      </c>
      <c r="AD426">
        <v>0</v>
      </c>
      <c r="AE426">
        <v>0</v>
      </c>
    </row>
    <row r="427" spans="7:31" x14ac:dyDescent="0.3">
      <c r="G427" s="4" t="s">
        <v>492</v>
      </c>
      <c r="H427">
        <v>1</v>
      </c>
      <c r="I427">
        <v>0</v>
      </c>
      <c r="N427" s="4" t="s">
        <v>492</v>
      </c>
      <c r="O427">
        <v>0</v>
      </c>
      <c r="Q427" s="4" t="s">
        <v>492</v>
      </c>
      <c r="R427">
        <v>5000001</v>
      </c>
      <c r="AB427">
        <v>0</v>
      </c>
      <c r="AC427">
        <v>0</v>
      </c>
      <c r="AD427">
        <v>0</v>
      </c>
      <c r="AE427">
        <v>0</v>
      </c>
    </row>
    <row r="428" spans="7:31" x14ac:dyDescent="0.3">
      <c r="G428" s="4" t="s">
        <v>493</v>
      </c>
      <c r="H428">
        <v>6</v>
      </c>
      <c r="I428">
        <v>1</v>
      </c>
      <c r="N428" s="4" t="s">
        <v>493</v>
      </c>
      <c r="O428">
        <v>64</v>
      </c>
      <c r="Q428" s="4" t="s">
        <v>493</v>
      </c>
      <c r="R428">
        <v>1444517</v>
      </c>
      <c r="AB428">
        <v>0</v>
      </c>
      <c r="AC428">
        <v>0</v>
      </c>
      <c r="AD428">
        <v>0</v>
      </c>
      <c r="AE428">
        <v>0</v>
      </c>
    </row>
    <row r="429" spans="7:31" x14ac:dyDescent="0.3">
      <c r="G429" s="4" t="s">
        <v>494</v>
      </c>
      <c r="H429">
        <v>5</v>
      </c>
      <c r="I429">
        <v>1</v>
      </c>
      <c r="N429" s="4" t="s">
        <v>494</v>
      </c>
      <c r="O429">
        <v>48</v>
      </c>
      <c r="Q429" s="4" t="s">
        <v>494</v>
      </c>
      <c r="R429">
        <v>2060648</v>
      </c>
      <c r="AB429">
        <v>0</v>
      </c>
      <c r="AC429">
        <v>0</v>
      </c>
      <c r="AD429">
        <v>0</v>
      </c>
      <c r="AE429">
        <v>0</v>
      </c>
    </row>
    <row r="430" spans="7:31" x14ac:dyDescent="0.3">
      <c r="G430" s="4" t="s">
        <v>495</v>
      </c>
      <c r="H430">
        <v>3</v>
      </c>
      <c r="I430">
        <v>1</v>
      </c>
      <c r="N430" s="4" t="s">
        <v>495</v>
      </c>
      <c r="O430">
        <v>1</v>
      </c>
      <c r="Q430" s="4" t="s">
        <v>495</v>
      </c>
      <c r="R430">
        <v>2207956</v>
      </c>
      <c r="AB430">
        <v>0</v>
      </c>
      <c r="AC430">
        <v>0</v>
      </c>
      <c r="AD430">
        <v>0</v>
      </c>
      <c r="AE430">
        <v>0</v>
      </c>
    </row>
    <row r="431" spans="7:31" x14ac:dyDescent="0.3">
      <c r="G431" s="4" t="s">
        <v>496</v>
      </c>
      <c r="H431">
        <v>6</v>
      </c>
      <c r="I431">
        <v>3</v>
      </c>
      <c r="N431" s="4" t="s">
        <v>496</v>
      </c>
      <c r="O431">
        <v>197</v>
      </c>
      <c r="Q431" s="4" t="s">
        <v>496</v>
      </c>
      <c r="R431">
        <v>615429</v>
      </c>
      <c r="AB431">
        <v>0</v>
      </c>
      <c r="AC431">
        <v>0</v>
      </c>
      <c r="AD431">
        <v>0</v>
      </c>
      <c r="AE431">
        <v>0</v>
      </c>
    </row>
    <row r="432" spans="7:31" x14ac:dyDescent="0.3">
      <c r="G432" s="4" t="s">
        <v>497</v>
      </c>
      <c r="H432">
        <v>5</v>
      </c>
      <c r="I432">
        <v>2</v>
      </c>
      <c r="N432" s="4" t="s">
        <v>497</v>
      </c>
      <c r="O432">
        <v>0</v>
      </c>
      <c r="Q432" s="4" t="s">
        <v>497</v>
      </c>
      <c r="R432">
        <v>2010069</v>
      </c>
      <c r="AB432">
        <v>0</v>
      </c>
      <c r="AC432">
        <v>0</v>
      </c>
      <c r="AD432">
        <v>0</v>
      </c>
      <c r="AE432">
        <v>0</v>
      </c>
    </row>
    <row r="433" spans="7:31" x14ac:dyDescent="0.3">
      <c r="G433" s="4" t="s">
        <v>498</v>
      </c>
      <c r="H433">
        <v>1</v>
      </c>
      <c r="I433">
        <v>0</v>
      </c>
      <c r="N433" s="4" t="s">
        <v>498</v>
      </c>
      <c r="O433">
        <v>0</v>
      </c>
      <c r="Q433" s="4" t="s">
        <v>498</v>
      </c>
      <c r="R433">
        <v>5000001</v>
      </c>
      <c r="AB433">
        <v>0</v>
      </c>
      <c r="AC433">
        <v>0</v>
      </c>
      <c r="AD433">
        <v>0</v>
      </c>
      <c r="AE433">
        <v>0</v>
      </c>
    </row>
    <row r="434" spans="7:31" x14ac:dyDescent="0.3">
      <c r="G434" s="4" t="s">
        <v>499</v>
      </c>
      <c r="H434">
        <v>3</v>
      </c>
      <c r="I434">
        <v>2</v>
      </c>
      <c r="N434" s="4" t="s">
        <v>499</v>
      </c>
      <c r="O434">
        <v>3</v>
      </c>
      <c r="Q434" s="4" t="s">
        <v>499</v>
      </c>
      <c r="R434">
        <v>2147103</v>
      </c>
      <c r="AB434">
        <v>0</v>
      </c>
      <c r="AC434">
        <v>0</v>
      </c>
      <c r="AD434">
        <v>0</v>
      </c>
      <c r="AE434">
        <v>0</v>
      </c>
    </row>
    <row r="435" spans="7:31" x14ac:dyDescent="0.3">
      <c r="G435" s="4" t="s">
        <v>500</v>
      </c>
      <c r="H435">
        <v>3</v>
      </c>
      <c r="I435">
        <v>0</v>
      </c>
      <c r="N435" s="4" t="s">
        <v>500</v>
      </c>
      <c r="O435">
        <v>2</v>
      </c>
      <c r="Q435" s="4" t="s">
        <v>500</v>
      </c>
      <c r="R435">
        <v>2884748</v>
      </c>
      <c r="AB435">
        <v>0</v>
      </c>
      <c r="AC435">
        <v>0</v>
      </c>
      <c r="AD435">
        <v>0</v>
      </c>
      <c r="AE435">
        <v>0</v>
      </c>
    </row>
    <row r="436" spans="7:31" x14ac:dyDescent="0.3">
      <c r="G436" s="4" t="s">
        <v>501</v>
      </c>
      <c r="H436">
        <v>2</v>
      </c>
      <c r="I436">
        <v>2</v>
      </c>
      <c r="N436" s="4" t="s">
        <v>501</v>
      </c>
      <c r="O436">
        <v>0</v>
      </c>
      <c r="Q436" s="4" t="s">
        <v>501</v>
      </c>
      <c r="R436">
        <v>2884093</v>
      </c>
      <c r="AB436">
        <v>0</v>
      </c>
      <c r="AC436">
        <v>0</v>
      </c>
      <c r="AD436">
        <v>0</v>
      </c>
      <c r="AE436">
        <v>0</v>
      </c>
    </row>
    <row r="437" spans="7:31" x14ac:dyDescent="0.3">
      <c r="G437" s="4" t="s">
        <v>502</v>
      </c>
      <c r="H437">
        <v>3</v>
      </c>
      <c r="I437">
        <v>2</v>
      </c>
      <c r="N437" s="4" t="s">
        <v>502</v>
      </c>
      <c r="O437">
        <v>4</v>
      </c>
      <c r="Q437" s="4" t="s">
        <v>502</v>
      </c>
      <c r="R437">
        <v>2496163</v>
      </c>
      <c r="AB437">
        <v>0</v>
      </c>
      <c r="AC437">
        <v>0</v>
      </c>
      <c r="AD437">
        <v>0</v>
      </c>
      <c r="AE437">
        <v>0</v>
      </c>
    </row>
    <row r="438" spans="7:31" x14ac:dyDescent="0.3">
      <c r="G438" s="4" t="s">
        <v>503</v>
      </c>
      <c r="H438">
        <v>4</v>
      </c>
      <c r="I438">
        <v>1</v>
      </c>
      <c r="N438" s="4" t="s">
        <v>503</v>
      </c>
      <c r="O438">
        <v>5</v>
      </c>
      <c r="Q438" s="4" t="s">
        <v>503</v>
      </c>
      <c r="R438">
        <v>2274419</v>
      </c>
      <c r="AB438">
        <v>0</v>
      </c>
      <c r="AC438">
        <v>0</v>
      </c>
      <c r="AD438">
        <v>0</v>
      </c>
      <c r="AE438">
        <v>0</v>
      </c>
    </row>
    <row r="439" spans="7:31" x14ac:dyDescent="0.3">
      <c r="G439" s="4" t="s">
        <v>504</v>
      </c>
      <c r="H439">
        <v>6</v>
      </c>
      <c r="I439">
        <v>2</v>
      </c>
      <c r="N439" s="4" t="s">
        <v>504</v>
      </c>
      <c r="O439">
        <v>249</v>
      </c>
      <c r="Q439" s="4" t="s">
        <v>504</v>
      </c>
      <c r="R439">
        <v>965943</v>
      </c>
      <c r="AB439">
        <v>0</v>
      </c>
      <c r="AC439">
        <v>0</v>
      </c>
      <c r="AD439">
        <v>0</v>
      </c>
      <c r="AE439">
        <v>0</v>
      </c>
    </row>
    <row r="440" spans="7:31" x14ac:dyDescent="0.3">
      <c r="G440" s="4" t="s">
        <v>506</v>
      </c>
      <c r="H440">
        <v>0</v>
      </c>
      <c r="I440">
        <v>0</v>
      </c>
      <c r="N440" s="4" t="s">
        <v>506</v>
      </c>
      <c r="O440">
        <v>0</v>
      </c>
      <c r="Q440" s="4" t="s">
        <v>506</v>
      </c>
      <c r="R440">
        <v>5000001</v>
      </c>
      <c r="AB440">
        <v>0</v>
      </c>
      <c r="AC440">
        <v>0</v>
      </c>
      <c r="AD440">
        <v>0</v>
      </c>
      <c r="AE440">
        <v>0</v>
      </c>
    </row>
    <row r="441" spans="7:31" x14ac:dyDescent="0.3">
      <c r="G441" s="4" t="s">
        <v>507</v>
      </c>
      <c r="H441">
        <v>3</v>
      </c>
      <c r="I441">
        <v>2</v>
      </c>
      <c r="N441" s="4" t="s">
        <v>507</v>
      </c>
      <c r="O441">
        <v>0</v>
      </c>
      <c r="Q441" s="4" t="s">
        <v>507</v>
      </c>
      <c r="R441">
        <v>5000001</v>
      </c>
      <c r="AB441">
        <v>0</v>
      </c>
      <c r="AC441">
        <v>0</v>
      </c>
      <c r="AD441">
        <v>0</v>
      </c>
      <c r="AE441">
        <v>0</v>
      </c>
    </row>
    <row r="442" spans="7:31" x14ac:dyDescent="0.3">
      <c r="G442" s="4" t="s">
        <v>508</v>
      </c>
      <c r="H442">
        <v>2</v>
      </c>
      <c r="I442">
        <v>1</v>
      </c>
      <c r="N442" s="4" t="s">
        <v>508</v>
      </c>
      <c r="O442">
        <v>0</v>
      </c>
      <c r="Q442" s="4" t="s">
        <v>508</v>
      </c>
      <c r="R442">
        <v>5000001</v>
      </c>
      <c r="AB442">
        <v>0</v>
      </c>
      <c r="AC442">
        <v>0</v>
      </c>
      <c r="AD442">
        <v>0</v>
      </c>
      <c r="AE442">
        <v>0</v>
      </c>
    </row>
    <row r="443" spans="7:31" x14ac:dyDescent="0.3">
      <c r="G443" s="4" t="s">
        <v>509</v>
      </c>
      <c r="H443">
        <v>2</v>
      </c>
      <c r="I443">
        <v>1</v>
      </c>
      <c r="N443" s="4" t="s">
        <v>509</v>
      </c>
      <c r="O443">
        <v>0</v>
      </c>
      <c r="Q443" s="4" t="s">
        <v>509</v>
      </c>
      <c r="R443">
        <v>5000001</v>
      </c>
      <c r="AB443">
        <v>0</v>
      </c>
      <c r="AC443">
        <v>0</v>
      </c>
      <c r="AD443">
        <v>0</v>
      </c>
      <c r="AE443">
        <v>0</v>
      </c>
    </row>
    <row r="444" spans="7:31" x14ac:dyDescent="0.3">
      <c r="G444" s="4" t="s">
        <v>510</v>
      </c>
      <c r="H444">
        <v>3</v>
      </c>
      <c r="I444">
        <v>1</v>
      </c>
      <c r="N444" s="4" t="s">
        <v>510</v>
      </c>
      <c r="O444">
        <v>8</v>
      </c>
      <c r="Q444" s="4" t="s">
        <v>510</v>
      </c>
      <c r="R444">
        <v>1392494</v>
      </c>
      <c r="AB444">
        <v>0</v>
      </c>
      <c r="AC444">
        <v>0</v>
      </c>
      <c r="AD444">
        <v>0</v>
      </c>
      <c r="AE444">
        <v>0</v>
      </c>
    </row>
    <row r="445" spans="7:31" x14ac:dyDescent="0.3">
      <c r="G445" s="4" t="s">
        <v>511</v>
      </c>
      <c r="H445">
        <v>1</v>
      </c>
      <c r="I445">
        <v>0</v>
      </c>
      <c r="N445" s="4" t="s">
        <v>511</v>
      </c>
      <c r="O445">
        <v>0</v>
      </c>
      <c r="Q445" s="4" t="s">
        <v>511</v>
      </c>
      <c r="R445">
        <v>3076439</v>
      </c>
      <c r="AB445">
        <v>0</v>
      </c>
      <c r="AC445">
        <v>0</v>
      </c>
      <c r="AD445">
        <v>0</v>
      </c>
      <c r="AE445">
        <v>0</v>
      </c>
    </row>
    <row r="446" spans="7:31" x14ac:dyDescent="0.3">
      <c r="G446" s="4" t="s">
        <v>512</v>
      </c>
      <c r="H446">
        <v>5</v>
      </c>
      <c r="I446">
        <v>3</v>
      </c>
      <c r="N446" s="4" t="s">
        <v>512</v>
      </c>
      <c r="O446">
        <v>12</v>
      </c>
      <c r="Q446" s="4" t="s">
        <v>512</v>
      </c>
      <c r="R446">
        <v>2273364</v>
      </c>
      <c r="AB446">
        <v>0</v>
      </c>
      <c r="AC446">
        <v>0</v>
      </c>
      <c r="AD446">
        <v>0</v>
      </c>
      <c r="AE446">
        <v>0</v>
      </c>
    </row>
    <row r="447" spans="7:31" x14ac:dyDescent="0.3">
      <c r="G447" s="4" t="s">
        <v>513</v>
      </c>
      <c r="H447">
        <v>5</v>
      </c>
      <c r="I447">
        <v>0</v>
      </c>
      <c r="N447" s="4" t="s">
        <v>513</v>
      </c>
      <c r="O447">
        <v>10</v>
      </c>
      <c r="Q447" s="4" t="s">
        <v>513</v>
      </c>
      <c r="R447">
        <v>5000001</v>
      </c>
      <c r="AB447">
        <v>0</v>
      </c>
      <c r="AC447">
        <v>0</v>
      </c>
      <c r="AD447">
        <v>0</v>
      </c>
      <c r="AE447">
        <v>0</v>
      </c>
    </row>
    <row r="448" spans="7:31" x14ac:dyDescent="0.3">
      <c r="G448" s="4" t="s">
        <v>514</v>
      </c>
      <c r="H448">
        <v>3</v>
      </c>
      <c r="I448">
        <v>1</v>
      </c>
      <c r="N448" s="4" t="s">
        <v>514</v>
      </c>
      <c r="O448">
        <v>4</v>
      </c>
      <c r="Q448" s="4" t="s">
        <v>514</v>
      </c>
      <c r="R448">
        <v>3005665</v>
      </c>
      <c r="AB448">
        <v>0</v>
      </c>
      <c r="AC448">
        <v>0</v>
      </c>
      <c r="AD448">
        <v>0</v>
      </c>
      <c r="AE448">
        <v>0</v>
      </c>
    </row>
    <row r="449" spans="7:31" x14ac:dyDescent="0.3">
      <c r="G449" s="4" t="s">
        <v>516</v>
      </c>
      <c r="H449">
        <v>5</v>
      </c>
      <c r="I449">
        <v>1</v>
      </c>
      <c r="N449" s="4" t="s">
        <v>516</v>
      </c>
      <c r="O449">
        <v>0</v>
      </c>
      <c r="Q449" s="4" t="s">
        <v>516</v>
      </c>
      <c r="R449">
        <v>2725132</v>
      </c>
      <c r="AB449">
        <v>0</v>
      </c>
      <c r="AC449">
        <v>0</v>
      </c>
      <c r="AD449">
        <v>0</v>
      </c>
      <c r="AE449">
        <v>0</v>
      </c>
    </row>
    <row r="450" spans="7:31" x14ac:dyDescent="0.3">
      <c r="G450" s="4" t="s">
        <v>517</v>
      </c>
      <c r="H450">
        <v>5</v>
      </c>
      <c r="I450">
        <v>4</v>
      </c>
      <c r="N450" s="4" t="s">
        <v>517</v>
      </c>
      <c r="O450">
        <v>14</v>
      </c>
      <c r="Q450" s="4" t="s">
        <v>517</v>
      </c>
      <c r="R450">
        <v>986949</v>
      </c>
      <c r="AB450">
        <v>0</v>
      </c>
      <c r="AC450">
        <v>0</v>
      </c>
      <c r="AD450">
        <v>0</v>
      </c>
      <c r="AE450">
        <v>0</v>
      </c>
    </row>
    <row r="451" spans="7:31" x14ac:dyDescent="0.3">
      <c r="G451" s="4" t="s">
        <v>519</v>
      </c>
      <c r="H451">
        <v>2</v>
      </c>
      <c r="I451">
        <v>1</v>
      </c>
      <c r="N451" s="4" t="s">
        <v>519</v>
      </c>
      <c r="O451">
        <v>0</v>
      </c>
      <c r="Q451" s="4" t="s">
        <v>519</v>
      </c>
      <c r="R451">
        <v>5000001</v>
      </c>
      <c r="AB451">
        <v>0</v>
      </c>
      <c r="AC451">
        <v>0</v>
      </c>
      <c r="AD451">
        <v>0</v>
      </c>
      <c r="AE451">
        <v>0</v>
      </c>
    </row>
    <row r="452" spans="7:31" x14ac:dyDescent="0.3">
      <c r="G452" s="4" t="s">
        <v>520</v>
      </c>
      <c r="H452">
        <v>3</v>
      </c>
      <c r="I452">
        <v>0</v>
      </c>
      <c r="N452" s="4" t="s">
        <v>520</v>
      </c>
      <c r="O452">
        <v>160</v>
      </c>
      <c r="Q452" s="4" t="s">
        <v>520</v>
      </c>
      <c r="R452">
        <v>2378302</v>
      </c>
      <c r="AB452">
        <v>0</v>
      </c>
      <c r="AC452">
        <v>0</v>
      </c>
      <c r="AD452">
        <v>0</v>
      </c>
      <c r="AE452">
        <v>0</v>
      </c>
    </row>
    <row r="453" spans="7:31" x14ac:dyDescent="0.3">
      <c r="G453" s="4" t="s">
        <v>521</v>
      </c>
      <c r="H453">
        <v>1</v>
      </c>
      <c r="I453">
        <v>0</v>
      </c>
      <c r="N453" s="4" t="s">
        <v>521</v>
      </c>
      <c r="O453">
        <v>235</v>
      </c>
      <c r="Q453" s="4" t="s">
        <v>521</v>
      </c>
      <c r="R453">
        <v>590058</v>
      </c>
      <c r="AB453">
        <v>0</v>
      </c>
      <c r="AC453">
        <v>0</v>
      </c>
      <c r="AD453">
        <v>0</v>
      </c>
      <c r="AE453">
        <v>0</v>
      </c>
    </row>
    <row r="454" spans="7:31" x14ac:dyDescent="0.3">
      <c r="G454" s="4" t="s">
        <v>522</v>
      </c>
      <c r="H454">
        <v>3</v>
      </c>
      <c r="I454">
        <v>0</v>
      </c>
      <c r="N454" s="4" t="s">
        <v>522</v>
      </c>
      <c r="O454">
        <v>0</v>
      </c>
      <c r="Q454" s="4" t="s">
        <v>522</v>
      </c>
      <c r="R454">
        <v>5000001</v>
      </c>
      <c r="AB454">
        <v>0</v>
      </c>
      <c r="AC454">
        <v>0</v>
      </c>
      <c r="AD454">
        <v>0</v>
      </c>
      <c r="AE454">
        <v>0</v>
      </c>
    </row>
    <row r="455" spans="7:31" x14ac:dyDescent="0.3">
      <c r="G455" s="4" t="s">
        <v>523</v>
      </c>
      <c r="H455">
        <v>2</v>
      </c>
      <c r="I455">
        <v>0</v>
      </c>
      <c r="N455" s="4" t="s">
        <v>523</v>
      </c>
      <c r="O455">
        <v>1</v>
      </c>
      <c r="Q455" s="4" t="s">
        <v>523</v>
      </c>
      <c r="R455">
        <v>5000001</v>
      </c>
      <c r="AB455">
        <v>0</v>
      </c>
      <c r="AC455">
        <v>0</v>
      </c>
      <c r="AD455">
        <v>0</v>
      </c>
      <c r="AE455">
        <v>0</v>
      </c>
    </row>
    <row r="456" spans="7:31" x14ac:dyDescent="0.3">
      <c r="G456" s="4" t="s">
        <v>524</v>
      </c>
      <c r="H456">
        <v>4</v>
      </c>
      <c r="I456">
        <v>0</v>
      </c>
      <c r="N456" s="4" t="s">
        <v>524</v>
      </c>
      <c r="O456">
        <v>32</v>
      </c>
      <c r="Q456" s="4" t="s">
        <v>524</v>
      </c>
      <c r="R456">
        <v>1417980</v>
      </c>
      <c r="AB456">
        <v>0</v>
      </c>
      <c r="AC456">
        <v>0</v>
      </c>
      <c r="AD456">
        <v>0</v>
      </c>
      <c r="AE456">
        <v>0</v>
      </c>
    </row>
    <row r="457" spans="7:31" x14ac:dyDescent="0.3">
      <c r="G457" s="4" t="s">
        <v>525</v>
      </c>
      <c r="H457">
        <v>1</v>
      </c>
      <c r="I457">
        <v>0</v>
      </c>
      <c r="N457" s="4" t="s">
        <v>525</v>
      </c>
      <c r="O457">
        <v>0</v>
      </c>
      <c r="Q457" s="4" t="s">
        <v>525</v>
      </c>
      <c r="R457">
        <v>5000001</v>
      </c>
      <c r="AB457">
        <v>0</v>
      </c>
      <c r="AC457">
        <v>0</v>
      </c>
      <c r="AD457">
        <v>0</v>
      </c>
      <c r="AE457">
        <v>0</v>
      </c>
    </row>
    <row r="458" spans="7:31" x14ac:dyDescent="0.3">
      <c r="G458" s="4" t="s">
        <v>526</v>
      </c>
      <c r="H458">
        <v>2</v>
      </c>
      <c r="I458">
        <v>0</v>
      </c>
      <c r="N458" s="4" t="s">
        <v>526</v>
      </c>
      <c r="O458">
        <v>8</v>
      </c>
      <c r="Q458" s="4" t="s">
        <v>526</v>
      </c>
      <c r="R458">
        <v>3303932</v>
      </c>
      <c r="AB458">
        <v>0</v>
      </c>
      <c r="AC458">
        <v>0</v>
      </c>
      <c r="AD458">
        <v>0</v>
      </c>
      <c r="AE458">
        <v>0</v>
      </c>
    </row>
    <row r="459" spans="7:31" x14ac:dyDescent="0.3">
      <c r="G459" s="4" t="s">
        <v>527</v>
      </c>
      <c r="H459">
        <v>2</v>
      </c>
      <c r="I459">
        <v>2</v>
      </c>
      <c r="N459" s="4" t="s">
        <v>527</v>
      </c>
      <c r="O459">
        <v>16</v>
      </c>
      <c r="Q459" s="4" t="s">
        <v>527</v>
      </c>
      <c r="R459">
        <v>3903102</v>
      </c>
      <c r="AB459">
        <v>0</v>
      </c>
      <c r="AC459">
        <v>0</v>
      </c>
      <c r="AD459">
        <v>0</v>
      </c>
      <c r="AE459">
        <v>0</v>
      </c>
    </row>
    <row r="460" spans="7:31" x14ac:dyDescent="0.3">
      <c r="G460" s="4" t="s">
        <v>528</v>
      </c>
      <c r="H460">
        <v>1</v>
      </c>
      <c r="I460">
        <v>0</v>
      </c>
      <c r="N460" s="4" t="s">
        <v>528</v>
      </c>
      <c r="O460">
        <v>0</v>
      </c>
      <c r="Q460" s="4" t="s">
        <v>528</v>
      </c>
      <c r="R460">
        <v>5000001</v>
      </c>
      <c r="AB460">
        <v>0</v>
      </c>
      <c r="AC460">
        <v>0</v>
      </c>
      <c r="AD460">
        <v>0</v>
      </c>
      <c r="AE460">
        <v>0</v>
      </c>
    </row>
    <row r="461" spans="7:31" x14ac:dyDescent="0.3">
      <c r="G461" s="4" t="s">
        <v>529</v>
      </c>
      <c r="H461">
        <v>0</v>
      </c>
      <c r="I461">
        <v>0</v>
      </c>
      <c r="N461" s="4" t="s">
        <v>529</v>
      </c>
      <c r="O461">
        <v>0</v>
      </c>
      <c r="Q461" s="4" t="s">
        <v>529</v>
      </c>
      <c r="R461">
        <v>3673514</v>
      </c>
      <c r="AB461">
        <v>0</v>
      </c>
      <c r="AC461">
        <v>0</v>
      </c>
      <c r="AD461">
        <v>0</v>
      </c>
      <c r="AE461">
        <v>0</v>
      </c>
    </row>
    <row r="462" spans="7:31" x14ac:dyDescent="0.3">
      <c r="G462" s="4" t="s">
        <v>530</v>
      </c>
      <c r="H462">
        <v>2</v>
      </c>
      <c r="I462">
        <v>0</v>
      </c>
      <c r="N462" s="4" t="s">
        <v>530</v>
      </c>
      <c r="O462">
        <v>0</v>
      </c>
      <c r="Q462" s="4" t="s">
        <v>530</v>
      </c>
      <c r="R462">
        <v>2585186</v>
      </c>
      <c r="AB462">
        <v>0</v>
      </c>
      <c r="AC462">
        <v>0</v>
      </c>
      <c r="AD462">
        <v>0</v>
      </c>
      <c r="AE462">
        <v>0</v>
      </c>
    </row>
    <row r="463" spans="7:31" x14ac:dyDescent="0.3">
      <c r="G463" s="4" t="s">
        <v>531</v>
      </c>
      <c r="H463">
        <v>3</v>
      </c>
      <c r="I463">
        <v>3</v>
      </c>
      <c r="N463" s="4" t="s">
        <v>531</v>
      </c>
      <c r="O463">
        <v>0</v>
      </c>
      <c r="Q463" s="4" t="s">
        <v>531</v>
      </c>
      <c r="R463">
        <v>1406321</v>
      </c>
      <c r="AB463">
        <v>0</v>
      </c>
      <c r="AC463">
        <v>0</v>
      </c>
      <c r="AD463">
        <v>0</v>
      </c>
      <c r="AE463">
        <v>0</v>
      </c>
    </row>
    <row r="464" spans="7:31" x14ac:dyDescent="0.3">
      <c r="G464" s="4" t="s">
        <v>532</v>
      </c>
      <c r="H464">
        <v>1</v>
      </c>
      <c r="I464">
        <v>0</v>
      </c>
      <c r="N464" s="4" t="s">
        <v>532</v>
      </c>
      <c r="O464">
        <v>0</v>
      </c>
      <c r="Q464" s="4" t="s">
        <v>532</v>
      </c>
      <c r="R464">
        <v>5000001</v>
      </c>
      <c r="AB464">
        <v>0</v>
      </c>
      <c r="AC464">
        <v>0</v>
      </c>
      <c r="AD464">
        <v>0</v>
      </c>
      <c r="AE464">
        <v>0</v>
      </c>
    </row>
    <row r="465" spans="7:31" x14ac:dyDescent="0.3">
      <c r="G465" s="4" t="s">
        <v>533</v>
      </c>
      <c r="H465">
        <v>1</v>
      </c>
      <c r="I465">
        <v>0</v>
      </c>
      <c r="N465" s="4" t="s">
        <v>533</v>
      </c>
      <c r="O465">
        <v>0</v>
      </c>
      <c r="Q465" s="4" t="s">
        <v>533</v>
      </c>
      <c r="R465">
        <v>5000001</v>
      </c>
      <c r="AB465">
        <v>0</v>
      </c>
      <c r="AC465">
        <v>0</v>
      </c>
      <c r="AD465">
        <v>0</v>
      </c>
      <c r="AE465">
        <v>0</v>
      </c>
    </row>
    <row r="466" spans="7:31" x14ac:dyDescent="0.3">
      <c r="G466" s="4" t="s">
        <v>534</v>
      </c>
      <c r="H466">
        <v>1</v>
      </c>
      <c r="I466">
        <v>0</v>
      </c>
      <c r="N466" s="4" t="s">
        <v>534</v>
      </c>
      <c r="O466">
        <v>0</v>
      </c>
      <c r="Q466" s="4" t="s">
        <v>534</v>
      </c>
      <c r="R466">
        <v>5000001</v>
      </c>
      <c r="AB466">
        <v>0</v>
      </c>
      <c r="AC466">
        <v>0</v>
      </c>
      <c r="AD466">
        <v>0</v>
      </c>
      <c r="AE466">
        <v>0</v>
      </c>
    </row>
    <row r="467" spans="7:31" x14ac:dyDescent="0.3">
      <c r="G467" s="4" t="s">
        <v>535</v>
      </c>
      <c r="H467">
        <v>1</v>
      </c>
      <c r="I467">
        <v>1</v>
      </c>
      <c r="N467" s="4" t="s">
        <v>535</v>
      </c>
      <c r="O467">
        <v>4</v>
      </c>
      <c r="Q467" s="4" t="s">
        <v>535</v>
      </c>
      <c r="R467">
        <v>5000001</v>
      </c>
      <c r="AB467">
        <v>0</v>
      </c>
      <c r="AC467">
        <v>0</v>
      </c>
      <c r="AD467">
        <v>0</v>
      </c>
      <c r="AE467">
        <v>0</v>
      </c>
    </row>
    <row r="468" spans="7:31" x14ac:dyDescent="0.3">
      <c r="G468" s="4" t="s">
        <v>537</v>
      </c>
      <c r="H468">
        <v>1</v>
      </c>
      <c r="I468">
        <v>0</v>
      </c>
      <c r="N468" s="4" t="s">
        <v>537</v>
      </c>
      <c r="O468">
        <v>0</v>
      </c>
      <c r="Q468" s="4" t="s">
        <v>537</v>
      </c>
      <c r="R468">
        <v>5000001</v>
      </c>
      <c r="AB468">
        <v>0</v>
      </c>
      <c r="AC468">
        <v>0</v>
      </c>
      <c r="AD468">
        <v>0</v>
      </c>
      <c r="AE468">
        <v>0</v>
      </c>
    </row>
    <row r="469" spans="7:31" x14ac:dyDescent="0.3">
      <c r="G469" s="4" t="s">
        <v>538</v>
      </c>
      <c r="H469">
        <v>3</v>
      </c>
      <c r="I469">
        <v>2</v>
      </c>
      <c r="N469" s="4" t="s">
        <v>538</v>
      </c>
      <c r="O469">
        <v>0</v>
      </c>
      <c r="Q469" s="4" t="s">
        <v>538</v>
      </c>
      <c r="R469">
        <v>3015789</v>
      </c>
      <c r="AB469">
        <v>0</v>
      </c>
      <c r="AC469">
        <v>0</v>
      </c>
      <c r="AD469">
        <v>0</v>
      </c>
      <c r="AE469">
        <v>0</v>
      </c>
    </row>
    <row r="470" spans="7:31" x14ac:dyDescent="0.3">
      <c r="G470" s="4" t="s">
        <v>539</v>
      </c>
      <c r="H470">
        <v>3</v>
      </c>
      <c r="I470">
        <v>0</v>
      </c>
      <c r="N470" s="4" t="s">
        <v>539</v>
      </c>
      <c r="O470">
        <v>20</v>
      </c>
      <c r="Q470" s="4" t="s">
        <v>539</v>
      </c>
      <c r="R470">
        <v>5000001</v>
      </c>
      <c r="AB470">
        <v>0</v>
      </c>
      <c r="AC470">
        <v>0</v>
      </c>
      <c r="AD470">
        <v>0</v>
      </c>
      <c r="AE470">
        <v>0</v>
      </c>
    </row>
    <row r="471" spans="7:31" x14ac:dyDescent="0.3">
      <c r="G471" s="4" t="s">
        <v>540</v>
      </c>
      <c r="H471">
        <v>2</v>
      </c>
      <c r="I471">
        <v>2</v>
      </c>
      <c r="N471" s="4" t="s">
        <v>540</v>
      </c>
      <c r="O471">
        <v>41</v>
      </c>
      <c r="Q471" s="4" t="s">
        <v>540</v>
      </c>
      <c r="R471">
        <v>993590</v>
      </c>
      <c r="AB471">
        <v>0</v>
      </c>
      <c r="AC471">
        <v>0</v>
      </c>
      <c r="AD471">
        <v>0</v>
      </c>
      <c r="AE471">
        <v>0</v>
      </c>
    </row>
    <row r="472" spans="7:31" x14ac:dyDescent="0.3">
      <c r="G472" s="4" t="s">
        <v>541</v>
      </c>
      <c r="H472">
        <v>3</v>
      </c>
      <c r="I472">
        <v>2</v>
      </c>
      <c r="N472" s="4" t="s">
        <v>541</v>
      </c>
      <c r="O472">
        <v>149</v>
      </c>
      <c r="Q472" s="4" t="s">
        <v>541</v>
      </c>
      <c r="R472">
        <v>1321726</v>
      </c>
      <c r="AB472">
        <v>0</v>
      </c>
      <c r="AC472">
        <v>0</v>
      </c>
      <c r="AD472">
        <v>0</v>
      </c>
      <c r="AE472">
        <v>0</v>
      </c>
    </row>
    <row r="473" spans="7:31" x14ac:dyDescent="0.3">
      <c r="G473" s="4" t="s">
        <v>542</v>
      </c>
      <c r="H473">
        <v>1</v>
      </c>
      <c r="I473">
        <v>0</v>
      </c>
      <c r="N473" s="4" t="s">
        <v>542</v>
      </c>
      <c r="O473">
        <v>0</v>
      </c>
      <c r="Q473" s="4" t="s">
        <v>542</v>
      </c>
      <c r="R473">
        <v>3310660</v>
      </c>
      <c r="AB473">
        <v>0</v>
      </c>
      <c r="AC473">
        <v>0</v>
      </c>
      <c r="AD473">
        <v>0</v>
      </c>
      <c r="AE473">
        <v>0</v>
      </c>
    </row>
    <row r="474" spans="7:31" x14ac:dyDescent="0.3">
      <c r="G474" s="4" t="s">
        <v>543</v>
      </c>
      <c r="H474">
        <v>1</v>
      </c>
      <c r="I474">
        <v>1</v>
      </c>
      <c r="N474" s="4" t="s">
        <v>543</v>
      </c>
      <c r="O474">
        <v>0</v>
      </c>
      <c r="Q474" s="4" t="s">
        <v>543</v>
      </c>
      <c r="R474">
        <v>5000001</v>
      </c>
      <c r="AB474">
        <v>0</v>
      </c>
      <c r="AC474">
        <v>0</v>
      </c>
      <c r="AD474">
        <v>0</v>
      </c>
      <c r="AE474">
        <v>0</v>
      </c>
    </row>
    <row r="475" spans="7:31" x14ac:dyDescent="0.3">
      <c r="G475" s="4" t="s">
        <v>544</v>
      </c>
      <c r="H475">
        <v>2</v>
      </c>
      <c r="I475">
        <v>2</v>
      </c>
      <c r="N475" s="4" t="s">
        <v>544</v>
      </c>
      <c r="O475">
        <v>0</v>
      </c>
      <c r="Q475" s="4" t="s">
        <v>544</v>
      </c>
      <c r="R475">
        <v>3076398</v>
      </c>
      <c r="AB475">
        <v>0</v>
      </c>
      <c r="AC475">
        <v>0</v>
      </c>
      <c r="AD475">
        <v>0</v>
      </c>
      <c r="AE475">
        <v>0</v>
      </c>
    </row>
    <row r="476" spans="7:31" x14ac:dyDescent="0.3">
      <c r="G476" s="4" t="s">
        <v>545</v>
      </c>
      <c r="H476">
        <v>1</v>
      </c>
      <c r="I476">
        <v>1</v>
      </c>
      <c r="N476" s="4" t="s">
        <v>545</v>
      </c>
      <c r="O476">
        <v>0</v>
      </c>
      <c r="Q476" s="4" t="s">
        <v>545</v>
      </c>
      <c r="R476">
        <v>5000001</v>
      </c>
      <c r="AB476">
        <v>0</v>
      </c>
      <c r="AC476">
        <v>0</v>
      </c>
      <c r="AD476">
        <v>0</v>
      </c>
      <c r="AE476">
        <v>0</v>
      </c>
    </row>
    <row r="477" spans="7:31" x14ac:dyDescent="0.3">
      <c r="G477" s="4" t="s">
        <v>546</v>
      </c>
      <c r="H477">
        <v>2</v>
      </c>
      <c r="I477">
        <v>1</v>
      </c>
      <c r="N477" s="4" t="s">
        <v>546</v>
      </c>
      <c r="O477">
        <v>2</v>
      </c>
      <c r="Q477" s="4" t="s">
        <v>546</v>
      </c>
      <c r="R477">
        <v>3015764</v>
      </c>
      <c r="AB477">
        <v>0</v>
      </c>
      <c r="AC477">
        <v>0</v>
      </c>
      <c r="AD477">
        <v>0</v>
      </c>
      <c r="AE477">
        <v>0</v>
      </c>
    </row>
    <row r="478" spans="7:31" x14ac:dyDescent="0.3">
      <c r="G478" s="4" t="s">
        <v>547</v>
      </c>
      <c r="H478">
        <v>2</v>
      </c>
      <c r="I478">
        <v>1</v>
      </c>
      <c r="N478" s="4" t="s">
        <v>547</v>
      </c>
      <c r="O478">
        <v>0</v>
      </c>
      <c r="Q478" s="4" t="s">
        <v>547</v>
      </c>
      <c r="R478">
        <v>5000001</v>
      </c>
      <c r="AB478">
        <v>0</v>
      </c>
      <c r="AC478">
        <v>0</v>
      </c>
      <c r="AD478">
        <v>0</v>
      </c>
      <c r="AE478">
        <v>0</v>
      </c>
    </row>
    <row r="479" spans="7:31" x14ac:dyDescent="0.3">
      <c r="G479" s="4" t="s">
        <v>548</v>
      </c>
      <c r="H479">
        <v>3</v>
      </c>
      <c r="I479">
        <v>2</v>
      </c>
      <c r="N479" s="4" t="s">
        <v>548</v>
      </c>
      <c r="O479">
        <v>0</v>
      </c>
      <c r="Q479" s="4" t="s">
        <v>548</v>
      </c>
      <c r="R479">
        <v>2421904</v>
      </c>
      <c r="AB479">
        <v>0</v>
      </c>
      <c r="AC479">
        <v>0</v>
      </c>
      <c r="AD479">
        <v>0</v>
      </c>
      <c r="AE479">
        <v>0</v>
      </c>
    </row>
    <row r="480" spans="7:31" x14ac:dyDescent="0.3">
      <c r="G480" s="4" t="s">
        <v>550</v>
      </c>
      <c r="H480">
        <v>4</v>
      </c>
      <c r="I480">
        <v>0</v>
      </c>
      <c r="N480" s="4" t="s">
        <v>550</v>
      </c>
      <c r="O480">
        <v>61</v>
      </c>
      <c r="Q480" s="4" t="s">
        <v>550</v>
      </c>
      <c r="R480">
        <v>864023</v>
      </c>
      <c r="AB480">
        <v>0</v>
      </c>
      <c r="AC480">
        <v>0</v>
      </c>
      <c r="AD480">
        <v>0</v>
      </c>
      <c r="AE480">
        <v>0</v>
      </c>
    </row>
    <row r="481" spans="7:31" x14ac:dyDescent="0.3">
      <c r="G481" s="4" t="s">
        <v>551</v>
      </c>
      <c r="H481">
        <v>2</v>
      </c>
      <c r="I481">
        <v>2</v>
      </c>
      <c r="N481" s="4" t="s">
        <v>551</v>
      </c>
      <c r="O481">
        <v>21</v>
      </c>
      <c r="Q481" s="4" t="s">
        <v>551</v>
      </c>
      <c r="R481">
        <v>2723516</v>
      </c>
      <c r="AB481">
        <v>0</v>
      </c>
      <c r="AC481">
        <v>0</v>
      </c>
      <c r="AD481">
        <v>0</v>
      </c>
      <c r="AE481">
        <v>0</v>
      </c>
    </row>
    <row r="482" spans="7:31" x14ac:dyDescent="0.3">
      <c r="G482" s="4" t="s">
        <v>552</v>
      </c>
      <c r="H482">
        <v>3</v>
      </c>
      <c r="I482">
        <v>1</v>
      </c>
      <c r="N482" s="4" t="s">
        <v>552</v>
      </c>
      <c r="O482">
        <v>4</v>
      </c>
      <c r="Q482" s="4" t="s">
        <v>552</v>
      </c>
      <c r="R482">
        <v>3075465</v>
      </c>
      <c r="AB482">
        <v>0</v>
      </c>
      <c r="AC482">
        <v>0</v>
      </c>
      <c r="AD482">
        <v>0</v>
      </c>
      <c r="AE482">
        <v>0</v>
      </c>
    </row>
    <row r="483" spans="7:31" x14ac:dyDescent="0.3">
      <c r="G483" s="4" t="s">
        <v>553</v>
      </c>
      <c r="H483">
        <v>4</v>
      </c>
      <c r="I483">
        <v>1</v>
      </c>
      <c r="N483" s="4" t="s">
        <v>553</v>
      </c>
      <c r="O483">
        <v>42</v>
      </c>
      <c r="Q483" s="4" t="s">
        <v>553</v>
      </c>
      <c r="R483">
        <v>328420</v>
      </c>
      <c r="AB483">
        <v>0</v>
      </c>
      <c r="AC483">
        <v>0</v>
      </c>
      <c r="AD483">
        <v>0</v>
      </c>
      <c r="AE483">
        <v>0</v>
      </c>
    </row>
    <row r="484" spans="7:31" x14ac:dyDescent="0.3">
      <c r="G484" s="4" t="s">
        <v>554</v>
      </c>
      <c r="H484">
        <v>3</v>
      </c>
      <c r="I484">
        <v>1</v>
      </c>
      <c r="N484" s="4" t="s">
        <v>554</v>
      </c>
      <c r="O484">
        <v>0</v>
      </c>
      <c r="Q484" s="4" t="s">
        <v>554</v>
      </c>
      <c r="R484">
        <v>3294200</v>
      </c>
      <c r="AB484">
        <v>0</v>
      </c>
      <c r="AC484">
        <v>0</v>
      </c>
      <c r="AD484">
        <v>0</v>
      </c>
      <c r="AE484">
        <v>0</v>
      </c>
    </row>
    <row r="485" spans="7:31" x14ac:dyDescent="0.3">
      <c r="G485" s="4" t="s">
        <v>555</v>
      </c>
      <c r="H485">
        <v>2</v>
      </c>
      <c r="I485">
        <v>2</v>
      </c>
      <c r="N485" s="4" t="s">
        <v>555</v>
      </c>
      <c r="O485">
        <v>13</v>
      </c>
      <c r="Q485" s="4" t="s">
        <v>555</v>
      </c>
      <c r="R485">
        <v>1488171</v>
      </c>
      <c r="AB485">
        <v>0</v>
      </c>
      <c r="AC485">
        <v>0</v>
      </c>
      <c r="AD485">
        <v>0</v>
      </c>
      <c r="AE485">
        <v>0</v>
      </c>
    </row>
    <row r="486" spans="7:31" x14ac:dyDescent="0.3">
      <c r="G486" s="4" t="s">
        <v>556</v>
      </c>
      <c r="H486">
        <v>4</v>
      </c>
      <c r="I486">
        <v>2</v>
      </c>
      <c r="N486" s="4" t="s">
        <v>556</v>
      </c>
      <c r="O486">
        <v>50</v>
      </c>
      <c r="Q486" s="4" t="s">
        <v>556</v>
      </c>
      <c r="R486">
        <v>2090096</v>
      </c>
      <c r="AB486">
        <v>0</v>
      </c>
      <c r="AC486">
        <v>0</v>
      </c>
      <c r="AD486">
        <v>0</v>
      </c>
      <c r="AE486">
        <v>0</v>
      </c>
    </row>
    <row r="487" spans="7:31" x14ac:dyDescent="0.3">
      <c r="G487" s="4" t="s">
        <v>557</v>
      </c>
      <c r="H487">
        <v>4</v>
      </c>
      <c r="I487">
        <v>0</v>
      </c>
      <c r="N487" s="4" t="s">
        <v>557</v>
      </c>
      <c r="O487">
        <v>19</v>
      </c>
      <c r="Q487" s="4" t="s">
        <v>557</v>
      </c>
      <c r="R487">
        <v>2942970</v>
      </c>
      <c r="AB487">
        <v>0</v>
      </c>
      <c r="AC487">
        <v>0</v>
      </c>
      <c r="AD487">
        <v>0</v>
      </c>
      <c r="AE487">
        <v>0</v>
      </c>
    </row>
    <row r="488" spans="7:31" x14ac:dyDescent="0.3">
      <c r="G488" s="4" t="s">
        <v>558</v>
      </c>
      <c r="H488">
        <v>2</v>
      </c>
      <c r="I488">
        <v>5</v>
      </c>
      <c r="N488" s="4" t="s">
        <v>558</v>
      </c>
      <c r="O488">
        <v>0</v>
      </c>
      <c r="Q488" s="4" t="s">
        <v>558</v>
      </c>
      <c r="R488">
        <v>3892724</v>
      </c>
      <c r="AB488">
        <v>0</v>
      </c>
      <c r="AC488">
        <v>0</v>
      </c>
      <c r="AD488">
        <v>0</v>
      </c>
      <c r="AE488">
        <v>0</v>
      </c>
    </row>
    <row r="489" spans="7:31" x14ac:dyDescent="0.3">
      <c r="G489" s="4" t="s">
        <v>560</v>
      </c>
      <c r="H489">
        <v>5</v>
      </c>
      <c r="I489">
        <v>2</v>
      </c>
      <c r="N489" s="4" t="s">
        <v>560</v>
      </c>
      <c r="O489">
        <v>46</v>
      </c>
      <c r="Q489" s="4" t="s">
        <v>560</v>
      </c>
      <c r="R489">
        <v>1793952</v>
      </c>
      <c r="AB489">
        <v>0</v>
      </c>
      <c r="AC489">
        <v>0</v>
      </c>
      <c r="AD489">
        <v>0</v>
      </c>
      <c r="AE489">
        <v>0</v>
      </c>
    </row>
    <row r="490" spans="7:31" x14ac:dyDescent="0.3">
      <c r="G490" s="4" t="s">
        <v>561</v>
      </c>
      <c r="H490">
        <v>6</v>
      </c>
      <c r="I490">
        <v>16</v>
      </c>
      <c r="N490" s="4" t="s">
        <v>561</v>
      </c>
      <c r="O490">
        <v>353</v>
      </c>
      <c r="Q490" s="4" t="s">
        <v>561</v>
      </c>
      <c r="R490">
        <v>71047</v>
      </c>
      <c r="AB490">
        <v>0</v>
      </c>
      <c r="AC490">
        <v>0</v>
      </c>
      <c r="AD490">
        <v>0</v>
      </c>
      <c r="AE490">
        <v>0</v>
      </c>
    </row>
    <row r="491" spans="7:31" x14ac:dyDescent="0.3">
      <c r="G491" s="4" t="s">
        <v>563</v>
      </c>
      <c r="H491">
        <v>3</v>
      </c>
      <c r="I491">
        <v>2</v>
      </c>
      <c r="N491" s="4" t="s">
        <v>563</v>
      </c>
      <c r="O491">
        <v>34</v>
      </c>
      <c r="Q491" s="4" t="s">
        <v>563</v>
      </c>
      <c r="R491">
        <v>932098</v>
      </c>
      <c r="AB491">
        <v>0</v>
      </c>
      <c r="AC491">
        <v>0</v>
      </c>
      <c r="AD491">
        <v>0</v>
      </c>
      <c r="AE491">
        <v>0</v>
      </c>
    </row>
    <row r="492" spans="7:31" x14ac:dyDescent="0.3">
      <c r="G492" s="4" t="s">
        <v>564</v>
      </c>
      <c r="H492">
        <v>6</v>
      </c>
      <c r="I492">
        <v>2</v>
      </c>
      <c r="N492" s="4" t="s">
        <v>564</v>
      </c>
      <c r="O492">
        <v>243</v>
      </c>
      <c r="Q492" s="4" t="s">
        <v>564</v>
      </c>
      <c r="R492">
        <v>1157383</v>
      </c>
      <c r="AB492">
        <v>0</v>
      </c>
      <c r="AC492">
        <v>0</v>
      </c>
      <c r="AD492">
        <v>0</v>
      </c>
      <c r="AE492">
        <v>0</v>
      </c>
    </row>
    <row r="493" spans="7:31" x14ac:dyDescent="0.3">
      <c r="G493" s="4" t="s">
        <v>565</v>
      </c>
      <c r="H493">
        <v>6</v>
      </c>
      <c r="I493">
        <v>2</v>
      </c>
      <c r="N493" s="4" t="s">
        <v>565</v>
      </c>
      <c r="O493">
        <v>75</v>
      </c>
      <c r="Q493" s="4" t="s">
        <v>565</v>
      </c>
      <c r="R493">
        <v>1112499</v>
      </c>
      <c r="AB493">
        <v>0</v>
      </c>
      <c r="AC493">
        <v>0</v>
      </c>
      <c r="AD493">
        <v>0</v>
      </c>
      <c r="AE493">
        <v>0</v>
      </c>
    </row>
    <row r="494" spans="7:31" x14ac:dyDescent="0.3">
      <c r="G494" s="4" t="s">
        <v>566</v>
      </c>
      <c r="H494">
        <v>3</v>
      </c>
      <c r="I494">
        <v>2</v>
      </c>
      <c r="N494" s="4" t="s">
        <v>566</v>
      </c>
      <c r="O494">
        <v>2</v>
      </c>
      <c r="Q494" s="4" t="s">
        <v>566</v>
      </c>
      <c r="R494">
        <v>2342014</v>
      </c>
      <c r="AB494">
        <v>0</v>
      </c>
      <c r="AC494">
        <v>0</v>
      </c>
      <c r="AD494">
        <v>0</v>
      </c>
      <c r="AE494">
        <v>0</v>
      </c>
    </row>
    <row r="495" spans="7:31" x14ac:dyDescent="0.3">
      <c r="G495" s="4" t="s">
        <v>567</v>
      </c>
      <c r="H495">
        <v>3</v>
      </c>
      <c r="I495">
        <v>1</v>
      </c>
      <c r="N495" s="4" t="s">
        <v>567</v>
      </c>
      <c r="O495">
        <v>0</v>
      </c>
      <c r="Q495" s="4" t="s">
        <v>567</v>
      </c>
      <c r="R495">
        <v>1642927</v>
      </c>
      <c r="AB495">
        <v>0</v>
      </c>
      <c r="AC495">
        <v>0</v>
      </c>
      <c r="AD495">
        <v>0</v>
      </c>
      <c r="AE495">
        <v>0</v>
      </c>
    </row>
    <row r="496" spans="7:31" x14ac:dyDescent="0.3">
      <c r="G496" s="4" t="s">
        <v>568</v>
      </c>
      <c r="H496">
        <v>2</v>
      </c>
      <c r="I496">
        <v>1</v>
      </c>
      <c r="N496" s="4" t="s">
        <v>568</v>
      </c>
      <c r="O496">
        <v>0</v>
      </c>
      <c r="Q496" s="4" t="s">
        <v>568</v>
      </c>
      <c r="R496">
        <v>5000001</v>
      </c>
      <c r="AB496">
        <v>0</v>
      </c>
      <c r="AC496">
        <v>0</v>
      </c>
      <c r="AD496">
        <v>0</v>
      </c>
      <c r="AE496">
        <v>0</v>
      </c>
    </row>
    <row r="497" spans="7:31" x14ac:dyDescent="0.3">
      <c r="G497" s="4" t="s">
        <v>569</v>
      </c>
      <c r="H497">
        <v>4</v>
      </c>
      <c r="I497">
        <v>1</v>
      </c>
      <c r="N497" s="4" t="s">
        <v>569</v>
      </c>
      <c r="O497">
        <v>45</v>
      </c>
      <c r="Q497" s="4" t="s">
        <v>569</v>
      </c>
      <c r="R497">
        <v>1516981</v>
      </c>
      <c r="AB497">
        <v>0</v>
      </c>
      <c r="AC497">
        <v>0</v>
      </c>
      <c r="AD497">
        <v>0</v>
      </c>
      <c r="AE497">
        <v>0</v>
      </c>
    </row>
    <row r="498" spans="7:31" x14ac:dyDescent="0.3">
      <c r="G498" s="4" t="s">
        <v>570</v>
      </c>
      <c r="H498">
        <v>4</v>
      </c>
      <c r="I498">
        <v>2</v>
      </c>
      <c r="N498" s="4" t="s">
        <v>570</v>
      </c>
      <c r="O498">
        <v>198</v>
      </c>
      <c r="Q498" s="4" t="s">
        <v>570</v>
      </c>
      <c r="R498">
        <v>1299229</v>
      </c>
      <c r="AB498">
        <v>0</v>
      </c>
      <c r="AC498">
        <v>0</v>
      </c>
      <c r="AD498">
        <v>0</v>
      </c>
      <c r="AE498">
        <v>0</v>
      </c>
    </row>
    <row r="499" spans="7:31" x14ac:dyDescent="0.3">
      <c r="G499" s="4" t="s">
        <v>571</v>
      </c>
      <c r="H499">
        <v>3</v>
      </c>
      <c r="I499">
        <v>1</v>
      </c>
      <c r="N499" s="4" t="s">
        <v>571</v>
      </c>
      <c r="O499">
        <v>1</v>
      </c>
      <c r="Q499" s="4" t="s">
        <v>571</v>
      </c>
      <c r="R499">
        <v>2540970</v>
      </c>
      <c r="AB499">
        <v>0</v>
      </c>
      <c r="AC499">
        <v>0</v>
      </c>
      <c r="AD499">
        <v>0</v>
      </c>
      <c r="AE499">
        <v>0</v>
      </c>
    </row>
    <row r="500" spans="7:31" x14ac:dyDescent="0.3">
      <c r="G500" s="4" t="s">
        <v>572</v>
      </c>
      <c r="H500">
        <v>0</v>
      </c>
      <c r="I500">
        <v>0</v>
      </c>
      <c r="N500" s="4" t="s">
        <v>572</v>
      </c>
      <c r="O500">
        <v>0</v>
      </c>
      <c r="Q500" s="4" t="s">
        <v>572</v>
      </c>
      <c r="R500">
        <v>5000001</v>
      </c>
      <c r="AB500">
        <v>0</v>
      </c>
      <c r="AC500">
        <v>0</v>
      </c>
      <c r="AD500">
        <v>0</v>
      </c>
      <c r="AE500">
        <v>0</v>
      </c>
    </row>
    <row r="501" spans="7:31" x14ac:dyDescent="0.3">
      <c r="G501" s="4" t="s">
        <v>573</v>
      </c>
      <c r="H501">
        <v>6</v>
      </c>
      <c r="I501">
        <v>4</v>
      </c>
      <c r="N501" s="4" t="s">
        <v>573</v>
      </c>
      <c r="O501">
        <v>23</v>
      </c>
      <c r="Q501" s="4" t="s">
        <v>573</v>
      </c>
      <c r="R501">
        <v>3004913</v>
      </c>
      <c r="AB501">
        <v>0</v>
      </c>
      <c r="AC501">
        <v>0</v>
      </c>
      <c r="AD501">
        <v>0</v>
      </c>
      <c r="AE501">
        <v>0</v>
      </c>
    </row>
    <row r="502" spans="7:31" x14ac:dyDescent="0.3">
      <c r="G502" s="4" t="s">
        <v>575</v>
      </c>
      <c r="H502">
        <v>0</v>
      </c>
      <c r="I502">
        <v>0</v>
      </c>
      <c r="N502" s="4" t="s">
        <v>575</v>
      </c>
      <c r="O502">
        <v>0</v>
      </c>
      <c r="Q502" s="4" t="s">
        <v>575</v>
      </c>
      <c r="R502">
        <v>5000001</v>
      </c>
      <c r="AB502">
        <v>0</v>
      </c>
      <c r="AC502">
        <v>0</v>
      </c>
      <c r="AD502">
        <v>0</v>
      </c>
      <c r="AE502">
        <v>0</v>
      </c>
    </row>
    <row r="503" spans="7:31" x14ac:dyDescent="0.3">
      <c r="G503" s="4" t="s">
        <v>576</v>
      </c>
      <c r="H503">
        <v>2</v>
      </c>
      <c r="I503">
        <v>1</v>
      </c>
      <c r="N503" s="4" t="s">
        <v>576</v>
      </c>
      <c r="O503">
        <v>0</v>
      </c>
      <c r="Q503" s="4" t="s">
        <v>576</v>
      </c>
      <c r="R503">
        <v>4512615</v>
      </c>
      <c r="AB503">
        <v>0</v>
      </c>
      <c r="AC503">
        <v>0</v>
      </c>
      <c r="AD503">
        <v>0</v>
      </c>
      <c r="AE503">
        <v>0</v>
      </c>
    </row>
    <row r="504" spans="7:31" x14ac:dyDescent="0.3">
      <c r="G504" s="4" t="s">
        <v>577</v>
      </c>
      <c r="H504">
        <v>3</v>
      </c>
      <c r="I504">
        <v>4</v>
      </c>
      <c r="N504" s="4" t="s">
        <v>577</v>
      </c>
      <c r="O504">
        <v>179</v>
      </c>
      <c r="Q504" s="4" t="s">
        <v>577</v>
      </c>
      <c r="R504">
        <v>755250</v>
      </c>
      <c r="AB504">
        <v>0</v>
      </c>
      <c r="AC504">
        <v>0</v>
      </c>
      <c r="AD504">
        <v>0</v>
      </c>
      <c r="AE504">
        <v>0</v>
      </c>
    </row>
    <row r="505" spans="7:31" x14ac:dyDescent="0.3">
      <c r="G505" s="4" t="s">
        <v>579</v>
      </c>
      <c r="H505">
        <v>0</v>
      </c>
      <c r="I505">
        <v>0</v>
      </c>
      <c r="N505" s="4" t="s">
        <v>579</v>
      </c>
      <c r="O505">
        <v>0</v>
      </c>
      <c r="Q505" s="4" t="s">
        <v>579</v>
      </c>
      <c r="R505">
        <v>5000001</v>
      </c>
      <c r="AB505">
        <v>0</v>
      </c>
      <c r="AC505">
        <v>0</v>
      </c>
      <c r="AD505">
        <v>0</v>
      </c>
      <c r="AE505">
        <v>0</v>
      </c>
    </row>
    <row r="506" spans="7:31" x14ac:dyDescent="0.3">
      <c r="G506" s="4" t="s">
        <v>580</v>
      </c>
      <c r="H506">
        <v>1</v>
      </c>
      <c r="I506">
        <v>0</v>
      </c>
      <c r="N506" s="4" t="s">
        <v>580</v>
      </c>
      <c r="O506">
        <v>0</v>
      </c>
      <c r="Q506" s="4" t="s">
        <v>580</v>
      </c>
      <c r="R506">
        <v>5000001</v>
      </c>
      <c r="AB506">
        <v>0</v>
      </c>
      <c r="AC506">
        <v>0</v>
      </c>
      <c r="AD506">
        <v>0</v>
      </c>
      <c r="AE506">
        <v>0</v>
      </c>
    </row>
    <row r="507" spans="7:31" x14ac:dyDescent="0.3">
      <c r="G507" s="4" t="s">
        <v>581</v>
      </c>
      <c r="H507">
        <v>1</v>
      </c>
      <c r="I507">
        <v>1</v>
      </c>
      <c r="N507" s="4" t="s">
        <v>581</v>
      </c>
      <c r="O507">
        <v>0</v>
      </c>
      <c r="Q507" s="4" t="s">
        <v>581</v>
      </c>
      <c r="R507">
        <v>4503233</v>
      </c>
      <c r="AB507">
        <v>0</v>
      </c>
      <c r="AC507">
        <v>0</v>
      </c>
      <c r="AD507">
        <v>0</v>
      </c>
      <c r="AE507">
        <v>0</v>
      </c>
    </row>
    <row r="508" spans="7:31" x14ac:dyDescent="0.3">
      <c r="G508" s="4" t="s">
        <v>582</v>
      </c>
      <c r="H508">
        <v>3</v>
      </c>
      <c r="I508">
        <v>2</v>
      </c>
      <c r="N508" s="4" t="s">
        <v>582</v>
      </c>
      <c r="O508">
        <v>0</v>
      </c>
      <c r="Q508" s="4" t="s">
        <v>582</v>
      </c>
      <c r="R508">
        <v>5000001</v>
      </c>
      <c r="AB508">
        <v>0</v>
      </c>
      <c r="AC508">
        <v>0</v>
      </c>
      <c r="AD508">
        <v>0</v>
      </c>
      <c r="AE508">
        <v>0</v>
      </c>
    </row>
    <row r="509" spans="7:31" x14ac:dyDescent="0.3">
      <c r="G509" s="4" t="s">
        <v>584</v>
      </c>
      <c r="H509">
        <v>1</v>
      </c>
      <c r="I509">
        <v>2</v>
      </c>
      <c r="N509" s="4" t="s">
        <v>584</v>
      </c>
      <c r="O509">
        <v>0</v>
      </c>
      <c r="Q509" s="4" t="s">
        <v>584</v>
      </c>
      <c r="R509">
        <v>5000001</v>
      </c>
      <c r="AB509">
        <v>0</v>
      </c>
      <c r="AC509">
        <v>0</v>
      </c>
      <c r="AD509">
        <v>0</v>
      </c>
      <c r="AE509">
        <v>0</v>
      </c>
    </row>
    <row r="510" spans="7:31" x14ac:dyDescent="0.3">
      <c r="G510" s="4" t="s">
        <v>585</v>
      </c>
      <c r="H510">
        <v>1</v>
      </c>
      <c r="I510">
        <v>1</v>
      </c>
      <c r="N510" s="4" t="s">
        <v>585</v>
      </c>
      <c r="O510">
        <v>0</v>
      </c>
      <c r="Q510" s="4" t="s">
        <v>585</v>
      </c>
      <c r="R510">
        <v>0</v>
      </c>
      <c r="AB510">
        <v>0</v>
      </c>
      <c r="AC510">
        <v>0</v>
      </c>
      <c r="AD510">
        <v>0</v>
      </c>
      <c r="AE510">
        <v>0</v>
      </c>
    </row>
    <row r="511" spans="7:31" x14ac:dyDescent="0.3">
      <c r="G511" s="4" t="s">
        <v>586</v>
      </c>
      <c r="H511">
        <v>4</v>
      </c>
      <c r="I511">
        <v>4</v>
      </c>
      <c r="N511" s="4" t="s">
        <v>586</v>
      </c>
      <c r="O511">
        <v>60</v>
      </c>
      <c r="Q511" s="4" t="s">
        <v>586</v>
      </c>
      <c r="R511">
        <v>1883793</v>
      </c>
      <c r="AB511">
        <v>0</v>
      </c>
      <c r="AC511">
        <v>0</v>
      </c>
      <c r="AD511">
        <v>0</v>
      </c>
      <c r="AE511">
        <v>0</v>
      </c>
    </row>
    <row r="512" spans="7:31" x14ac:dyDescent="0.3">
      <c r="G512" s="4" t="s">
        <v>588</v>
      </c>
      <c r="H512">
        <v>3</v>
      </c>
      <c r="I512">
        <v>2</v>
      </c>
      <c r="N512" s="4" t="s">
        <v>588</v>
      </c>
      <c r="O512">
        <v>0</v>
      </c>
      <c r="Q512" s="4" t="s">
        <v>588</v>
      </c>
      <c r="R512">
        <v>3151199</v>
      </c>
      <c r="AB512">
        <v>0</v>
      </c>
      <c r="AC512">
        <v>0</v>
      </c>
      <c r="AD512">
        <v>0</v>
      </c>
      <c r="AE512">
        <v>0</v>
      </c>
    </row>
    <row r="513" spans="7:31" x14ac:dyDescent="0.3">
      <c r="G513" s="4" t="s">
        <v>589</v>
      </c>
      <c r="H513">
        <v>0</v>
      </c>
      <c r="I513">
        <v>0</v>
      </c>
      <c r="N513" s="4" t="s">
        <v>589</v>
      </c>
      <c r="O513">
        <v>0</v>
      </c>
      <c r="Q513" s="4" t="s">
        <v>589</v>
      </c>
      <c r="R513">
        <v>5000001</v>
      </c>
      <c r="AB513">
        <v>0</v>
      </c>
      <c r="AC513">
        <v>0</v>
      </c>
      <c r="AD513">
        <v>0</v>
      </c>
      <c r="AE513">
        <v>0</v>
      </c>
    </row>
    <row r="514" spans="7:31" x14ac:dyDescent="0.3">
      <c r="G514" s="4" t="s">
        <v>590</v>
      </c>
      <c r="H514">
        <v>1</v>
      </c>
      <c r="I514">
        <v>1</v>
      </c>
      <c r="N514" s="4" t="s">
        <v>590</v>
      </c>
      <c r="O514">
        <v>0</v>
      </c>
      <c r="Q514" s="4" t="s">
        <v>590</v>
      </c>
      <c r="R514">
        <v>5000001</v>
      </c>
      <c r="AB514">
        <v>0</v>
      </c>
      <c r="AC514">
        <v>0</v>
      </c>
      <c r="AD514">
        <v>0</v>
      </c>
      <c r="AE514">
        <v>0</v>
      </c>
    </row>
    <row r="515" spans="7:31" x14ac:dyDescent="0.3">
      <c r="G515" s="4" t="s">
        <v>591</v>
      </c>
      <c r="H515">
        <v>2</v>
      </c>
      <c r="I515">
        <v>2</v>
      </c>
      <c r="N515" s="4" t="s">
        <v>591</v>
      </c>
      <c r="O515">
        <v>0</v>
      </c>
      <c r="Q515" s="4" t="s">
        <v>591</v>
      </c>
      <c r="R515">
        <v>3307411</v>
      </c>
      <c r="AB515">
        <v>0</v>
      </c>
      <c r="AC515">
        <v>0</v>
      </c>
      <c r="AD515">
        <v>0</v>
      </c>
      <c r="AE515">
        <v>0</v>
      </c>
    </row>
    <row r="516" spans="7:31" x14ac:dyDescent="0.3">
      <c r="G516" s="4" t="s">
        <v>592</v>
      </c>
      <c r="H516">
        <v>3</v>
      </c>
      <c r="I516">
        <v>3</v>
      </c>
      <c r="N516" s="4" t="s">
        <v>592</v>
      </c>
      <c r="O516">
        <v>6</v>
      </c>
      <c r="Q516" s="4" t="s">
        <v>592</v>
      </c>
      <c r="R516">
        <v>2420866</v>
      </c>
      <c r="AB516">
        <v>0</v>
      </c>
      <c r="AC516">
        <v>0</v>
      </c>
      <c r="AD516">
        <v>0</v>
      </c>
      <c r="AE516">
        <v>0</v>
      </c>
    </row>
    <row r="517" spans="7:31" x14ac:dyDescent="0.3">
      <c r="G517" s="4" t="s">
        <v>593</v>
      </c>
      <c r="H517">
        <v>1</v>
      </c>
      <c r="I517">
        <v>0</v>
      </c>
      <c r="N517" s="4" t="s">
        <v>593</v>
      </c>
      <c r="O517">
        <v>4</v>
      </c>
      <c r="Q517" s="4" t="s">
        <v>593</v>
      </c>
      <c r="R517">
        <v>4036921</v>
      </c>
      <c r="AB517">
        <v>0</v>
      </c>
      <c r="AC517">
        <v>0</v>
      </c>
      <c r="AD517">
        <v>0</v>
      </c>
      <c r="AE517">
        <v>0</v>
      </c>
    </row>
    <row r="518" spans="7:31" x14ac:dyDescent="0.3">
      <c r="G518" s="4" t="s">
        <v>594</v>
      </c>
      <c r="H518">
        <v>3</v>
      </c>
      <c r="I518">
        <v>2</v>
      </c>
      <c r="N518" s="4" t="s">
        <v>594</v>
      </c>
      <c r="O518">
        <v>68</v>
      </c>
      <c r="Q518" s="4" t="s">
        <v>594</v>
      </c>
      <c r="R518">
        <v>3300356</v>
      </c>
      <c r="AB518">
        <v>0</v>
      </c>
      <c r="AC518">
        <v>0</v>
      </c>
      <c r="AD518">
        <v>0</v>
      </c>
      <c r="AE518">
        <v>0</v>
      </c>
    </row>
    <row r="519" spans="7:31" x14ac:dyDescent="0.3">
      <c r="G519" s="4" t="s">
        <v>595</v>
      </c>
      <c r="H519">
        <v>3</v>
      </c>
      <c r="I519">
        <v>2</v>
      </c>
      <c r="N519" s="4" t="s">
        <v>595</v>
      </c>
      <c r="O519">
        <v>125</v>
      </c>
      <c r="Q519" s="4" t="s">
        <v>595</v>
      </c>
      <c r="R519">
        <v>1531684</v>
      </c>
      <c r="AB519">
        <v>0</v>
      </c>
      <c r="AC519">
        <v>0</v>
      </c>
      <c r="AD519">
        <v>0</v>
      </c>
      <c r="AE519">
        <v>0</v>
      </c>
    </row>
    <row r="520" spans="7:31" x14ac:dyDescent="0.3">
      <c r="G520" s="4" t="s">
        <v>596</v>
      </c>
      <c r="H520">
        <v>6</v>
      </c>
      <c r="I520">
        <v>2</v>
      </c>
      <c r="N520" s="4" t="s">
        <v>596</v>
      </c>
      <c r="O520">
        <v>334</v>
      </c>
      <c r="Q520" s="4" t="s">
        <v>596</v>
      </c>
      <c r="R520">
        <v>691923</v>
      </c>
      <c r="AB520">
        <v>0</v>
      </c>
      <c r="AC520">
        <v>0</v>
      </c>
      <c r="AD520">
        <v>0</v>
      </c>
      <c r="AE520">
        <v>0</v>
      </c>
    </row>
    <row r="521" spans="7:31" x14ac:dyDescent="0.3">
      <c r="G521" s="4" t="s">
        <v>597</v>
      </c>
      <c r="H521">
        <v>0</v>
      </c>
      <c r="I521">
        <v>0</v>
      </c>
      <c r="N521" s="4" t="s">
        <v>597</v>
      </c>
      <c r="O521">
        <v>0</v>
      </c>
      <c r="Q521" s="4" t="s">
        <v>597</v>
      </c>
      <c r="R521">
        <v>4656154</v>
      </c>
      <c r="AB521">
        <v>0</v>
      </c>
      <c r="AC521">
        <v>0</v>
      </c>
      <c r="AD521">
        <v>0</v>
      </c>
      <c r="AE521">
        <v>0</v>
      </c>
    </row>
    <row r="522" spans="7:31" x14ac:dyDescent="0.3">
      <c r="G522" s="4" t="s">
        <v>598</v>
      </c>
      <c r="H522">
        <v>3</v>
      </c>
      <c r="I522">
        <v>2</v>
      </c>
      <c r="N522" s="4" t="s">
        <v>598</v>
      </c>
      <c r="O522">
        <v>0</v>
      </c>
      <c r="Q522" s="4" t="s">
        <v>598</v>
      </c>
      <c r="R522">
        <v>931909</v>
      </c>
      <c r="AB522">
        <v>0</v>
      </c>
      <c r="AC522">
        <v>0</v>
      </c>
      <c r="AD522">
        <v>0</v>
      </c>
      <c r="AE522">
        <v>0</v>
      </c>
    </row>
    <row r="523" spans="7:31" x14ac:dyDescent="0.3">
      <c r="G523" s="4" t="s">
        <v>599</v>
      </c>
      <c r="H523">
        <v>4</v>
      </c>
      <c r="I523">
        <v>2</v>
      </c>
      <c r="N523" s="4" t="s">
        <v>599</v>
      </c>
      <c r="O523">
        <v>2</v>
      </c>
      <c r="Q523" s="4" t="s">
        <v>599</v>
      </c>
      <c r="R523">
        <v>2273836</v>
      </c>
      <c r="AB523">
        <v>0</v>
      </c>
      <c r="AC523">
        <v>0</v>
      </c>
      <c r="AD523">
        <v>0</v>
      </c>
      <c r="AE523">
        <v>0</v>
      </c>
    </row>
    <row r="524" spans="7:31" x14ac:dyDescent="0.3">
      <c r="G524" s="4" t="s">
        <v>600</v>
      </c>
      <c r="H524">
        <v>4</v>
      </c>
      <c r="I524">
        <v>3</v>
      </c>
      <c r="N524" s="4" t="s">
        <v>600</v>
      </c>
      <c r="O524">
        <v>193</v>
      </c>
      <c r="Q524" s="4" t="s">
        <v>600</v>
      </c>
      <c r="R524">
        <v>671750</v>
      </c>
      <c r="AB524">
        <v>0</v>
      </c>
      <c r="AC524">
        <v>0</v>
      </c>
      <c r="AD524">
        <v>0</v>
      </c>
      <c r="AE524">
        <v>0</v>
      </c>
    </row>
    <row r="525" spans="7:31" x14ac:dyDescent="0.3">
      <c r="G525" s="4" t="s">
        <v>601</v>
      </c>
      <c r="H525">
        <v>6</v>
      </c>
      <c r="I525">
        <v>2</v>
      </c>
      <c r="N525" s="4" t="s">
        <v>601</v>
      </c>
      <c r="O525">
        <v>816</v>
      </c>
      <c r="Q525" s="4" t="s">
        <v>601</v>
      </c>
      <c r="R525">
        <v>178069</v>
      </c>
      <c r="AB525">
        <v>0</v>
      </c>
      <c r="AC525">
        <v>0</v>
      </c>
      <c r="AD525">
        <v>0</v>
      </c>
      <c r="AE525">
        <v>0</v>
      </c>
    </row>
    <row r="526" spans="7:31" x14ac:dyDescent="0.3">
      <c r="G526" s="4" t="s">
        <v>602</v>
      </c>
      <c r="H526">
        <v>2</v>
      </c>
      <c r="I526">
        <v>2</v>
      </c>
      <c r="N526" s="4" t="s">
        <v>602</v>
      </c>
      <c r="O526">
        <v>6</v>
      </c>
      <c r="Q526" s="4" t="s">
        <v>602</v>
      </c>
      <c r="R526">
        <v>2943815</v>
      </c>
      <c r="AB526">
        <v>0</v>
      </c>
      <c r="AC526">
        <v>0</v>
      </c>
      <c r="AD526">
        <v>0</v>
      </c>
      <c r="AE526">
        <v>0</v>
      </c>
    </row>
    <row r="527" spans="7:31" x14ac:dyDescent="0.3">
      <c r="G527" s="4" t="s">
        <v>603</v>
      </c>
      <c r="H527">
        <v>2</v>
      </c>
      <c r="I527">
        <v>2</v>
      </c>
      <c r="N527" s="4" t="s">
        <v>603</v>
      </c>
      <c r="O527">
        <v>0</v>
      </c>
      <c r="Q527" s="4" t="s">
        <v>603</v>
      </c>
      <c r="R527">
        <v>2779956</v>
      </c>
      <c r="AB527">
        <v>0</v>
      </c>
      <c r="AC527">
        <v>0</v>
      </c>
      <c r="AD527">
        <v>0</v>
      </c>
      <c r="AE527">
        <v>0</v>
      </c>
    </row>
    <row r="528" spans="7:31" x14ac:dyDescent="0.3">
      <c r="G528" s="4" t="s">
        <v>604</v>
      </c>
      <c r="H528">
        <v>4</v>
      </c>
      <c r="I528">
        <v>1</v>
      </c>
      <c r="N528" s="4" t="s">
        <v>604</v>
      </c>
      <c r="O528">
        <v>190</v>
      </c>
      <c r="Q528" s="4" t="s">
        <v>604</v>
      </c>
      <c r="R528">
        <v>1472251</v>
      </c>
      <c r="AB528">
        <v>0</v>
      </c>
      <c r="AC528">
        <v>0</v>
      </c>
      <c r="AD528">
        <v>0</v>
      </c>
      <c r="AE528">
        <v>0</v>
      </c>
    </row>
    <row r="529" spans="7:31" x14ac:dyDescent="0.3">
      <c r="G529" s="4" t="s">
        <v>605</v>
      </c>
      <c r="H529">
        <v>4</v>
      </c>
      <c r="I529">
        <v>2</v>
      </c>
      <c r="N529" s="4" t="s">
        <v>605</v>
      </c>
      <c r="O529">
        <v>16</v>
      </c>
      <c r="Q529" s="4" t="s">
        <v>605</v>
      </c>
      <c r="R529">
        <v>1342648</v>
      </c>
      <c r="AB529">
        <v>0</v>
      </c>
      <c r="AC529">
        <v>0</v>
      </c>
      <c r="AD529">
        <v>0</v>
      </c>
      <c r="AE529">
        <v>0</v>
      </c>
    </row>
    <row r="530" spans="7:31" x14ac:dyDescent="0.3">
      <c r="G530" s="4" t="s">
        <v>606</v>
      </c>
      <c r="H530">
        <v>5</v>
      </c>
      <c r="I530">
        <v>3</v>
      </c>
      <c r="N530" s="4" t="s">
        <v>606</v>
      </c>
      <c r="O530">
        <v>364</v>
      </c>
      <c r="Q530" s="4" t="s">
        <v>606</v>
      </c>
      <c r="R530">
        <v>1578327</v>
      </c>
      <c r="AB530">
        <v>0</v>
      </c>
      <c r="AC530">
        <v>0</v>
      </c>
      <c r="AD530">
        <v>0</v>
      </c>
      <c r="AE530">
        <v>0</v>
      </c>
    </row>
    <row r="531" spans="7:31" x14ac:dyDescent="0.3">
      <c r="G531" s="4" t="s">
        <v>607</v>
      </c>
      <c r="H531">
        <v>5</v>
      </c>
      <c r="I531">
        <v>2</v>
      </c>
      <c r="N531" s="4" t="s">
        <v>607</v>
      </c>
      <c r="O531">
        <v>102</v>
      </c>
      <c r="Q531" s="4" t="s">
        <v>607</v>
      </c>
      <c r="R531">
        <v>1121025</v>
      </c>
      <c r="AB531">
        <v>0</v>
      </c>
      <c r="AC531">
        <v>0</v>
      </c>
      <c r="AD531">
        <v>0</v>
      </c>
      <c r="AE531">
        <v>0</v>
      </c>
    </row>
    <row r="532" spans="7:31" x14ac:dyDescent="0.3">
      <c r="G532" s="4" t="s">
        <v>608</v>
      </c>
      <c r="H532">
        <v>4</v>
      </c>
      <c r="I532">
        <v>2</v>
      </c>
      <c r="N532" s="4" t="s">
        <v>608</v>
      </c>
      <c r="O532">
        <v>111</v>
      </c>
      <c r="Q532" s="4" t="s">
        <v>608</v>
      </c>
      <c r="R532">
        <v>5000001</v>
      </c>
      <c r="AB532">
        <v>0</v>
      </c>
      <c r="AC532">
        <v>0</v>
      </c>
      <c r="AD532">
        <v>0</v>
      </c>
      <c r="AE532">
        <v>0</v>
      </c>
    </row>
    <row r="533" spans="7:31" x14ac:dyDescent="0.3">
      <c r="G533" s="4" t="s">
        <v>609</v>
      </c>
      <c r="H533">
        <v>0</v>
      </c>
      <c r="I533">
        <v>0</v>
      </c>
      <c r="N533" s="4" t="s">
        <v>609</v>
      </c>
      <c r="O533">
        <v>0</v>
      </c>
      <c r="Q533" s="4" t="s">
        <v>609</v>
      </c>
      <c r="R533">
        <v>1755135</v>
      </c>
      <c r="AB533">
        <v>0</v>
      </c>
      <c r="AC533">
        <v>0</v>
      </c>
      <c r="AD533">
        <v>0</v>
      </c>
      <c r="AE533">
        <v>0</v>
      </c>
    </row>
    <row r="534" spans="7:31" x14ac:dyDescent="0.3">
      <c r="G534" s="4" t="s">
        <v>610</v>
      </c>
      <c r="H534">
        <v>3</v>
      </c>
      <c r="I534">
        <v>2</v>
      </c>
      <c r="N534" s="4" t="s">
        <v>610</v>
      </c>
      <c r="O534">
        <v>406</v>
      </c>
      <c r="Q534" s="4" t="s">
        <v>610</v>
      </c>
      <c r="R534">
        <v>286199</v>
      </c>
      <c r="AB534">
        <v>0</v>
      </c>
      <c r="AC534">
        <v>0</v>
      </c>
      <c r="AD534">
        <v>0</v>
      </c>
      <c r="AE534">
        <v>0</v>
      </c>
    </row>
    <row r="535" spans="7:31" x14ac:dyDescent="0.3">
      <c r="G535" s="4" t="s">
        <v>611</v>
      </c>
      <c r="H535">
        <v>2</v>
      </c>
      <c r="I535">
        <v>1</v>
      </c>
      <c r="N535" s="4" t="s">
        <v>611</v>
      </c>
      <c r="O535">
        <v>6</v>
      </c>
      <c r="Q535" s="4" t="s">
        <v>611</v>
      </c>
      <c r="R535">
        <v>4474893</v>
      </c>
      <c r="AB535">
        <v>0</v>
      </c>
      <c r="AC535">
        <v>0</v>
      </c>
      <c r="AD535">
        <v>0</v>
      </c>
      <c r="AE535">
        <v>0</v>
      </c>
    </row>
    <row r="536" spans="7:31" x14ac:dyDescent="0.3">
      <c r="G536" s="4" t="s">
        <v>612</v>
      </c>
      <c r="H536">
        <v>5</v>
      </c>
      <c r="I536">
        <v>3</v>
      </c>
      <c r="N536" s="4" t="s">
        <v>612</v>
      </c>
      <c r="O536">
        <v>37</v>
      </c>
      <c r="Q536" s="4" t="s">
        <v>612</v>
      </c>
      <c r="R536">
        <v>1246864</v>
      </c>
      <c r="AB536">
        <v>0</v>
      </c>
      <c r="AC536">
        <v>0</v>
      </c>
      <c r="AD536">
        <v>0</v>
      </c>
      <c r="AE536">
        <v>0</v>
      </c>
    </row>
    <row r="537" spans="7:31" x14ac:dyDescent="0.3">
      <c r="G537" s="4" t="s">
        <v>613</v>
      </c>
      <c r="H537">
        <v>6</v>
      </c>
      <c r="I537">
        <v>2</v>
      </c>
      <c r="N537" s="4" t="s">
        <v>613</v>
      </c>
      <c r="O537">
        <v>268</v>
      </c>
      <c r="Q537" s="4" t="s">
        <v>613</v>
      </c>
      <c r="R537">
        <v>717935</v>
      </c>
      <c r="AB537">
        <v>0</v>
      </c>
      <c r="AC537">
        <v>0</v>
      </c>
      <c r="AD537">
        <v>0</v>
      </c>
      <c r="AE537">
        <v>0</v>
      </c>
    </row>
    <row r="538" spans="7:31" x14ac:dyDescent="0.3">
      <c r="G538" s="4" t="s">
        <v>614</v>
      </c>
      <c r="H538">
        <v>5</v>
      </c>
      <c r="I538">
        <v>3</v>
      </c>
      <c r="N538" s="4" t="s">
        <v>614</v>
      </c>
      <c r="O538">
        <v>456</v>
      </c>
      <c r="Q538" s="4" t="s">
        <v>614</v>
      </c>
      <c r="R538">
        <v>333233</v>
      </c>
      <c r="AB538">
        <v>0</v>
      </c>
      <c r="AC538">
        <v>0</v>
      </c>
      <c r="AD538">
        <v>0</v>
      </c>
      <c r="AE538">
        <v>0</v>
      </c>
    </row>
    <row r="539" spans="7:31" x14ac:dyDescent="0.3">
      <c r="G539" s="4" t="s">
        <v>615</v>
      </c>
      <c r="H539">
        <v>6</v>
      </c>
      <c r="I539">
        <v>2</v>
      </c>
      <c r="N539" s="4" t="s">
        <v>615</v>
      </c>
      <c r="O539">
        <v>462</v>
      </c>
      <c r="Q539" s="4" t="s">
        <v>615</v>
      </c>
      <c r="R539">
        <v>237685</v>
      </c>
      <c r="AB539">
        <v>0</v>
      </c>
      <c r="AC539">
        <v>0</v>
      </c>
      <c r="AD539">
        <v>0</v>
      </c>
      <c r="AE539">
        <v>0</v>
      </c>
    </row>
    <row r="540" spans="7:31" x14ac:dyDescent="0.3">
      <c r="G540" s="4" t="s">
        <v>616</v>
      </c>
      <c r="H540">
        <v>3</v>
      </c>
      <c r="I540">
        <v>1</v>
      </c>
      <c r="N540" s="4" t="s">
        <v>616</v>
      </c>
      <c r="O540">
        <v>2</v>
      </c>
      <c r="Q540" s="4" t="s">
        <v>616</v>
      </c>
      <c r="R540">
        <v>2035959</v>
      </c>
      <c r="AB540">
        <v>0</v>
      </c>
      <c r="AC540">
        <v>0</v>
      </c>
      <c r="AD540">
        <v>0</v>
      </c>
      <c r="AE540">
        <v>0</v>
      </c>
    </row>
    <row r="541" spans="7:31" x14ac:dyDescent="0.3">
      <c r="G541" s="4" t="s">
        <v>617</v>
      </c>
      <c r="H541">
        <v>2</v>
      </c>
      <c r="I541">
        <v>0</v>
      </c>
      <c r="N541" s="4" t="s">
        <v>617</v>
      </c>
      <c r="O541">
        <v>25</v>
      </c>
      <c r="Q541" s="4" t="s">
        <v>617</v>
      </c>
      <c r="R541">
        <v>2119965</v>
      </c>
      <c r="AB541">
        <v>0</v>
      </c>
      <c r="AC541">
        <v>0</v>
      </c>
      <c r="AD541">
        <v>0</v>
      </c>
      <c r="AE541">
        <v>0</v>
      </c>
    </row>
    <row r="542" spans="7:31" x14ac:dyDescent="0.3">
      <c r="G542" s="4" t="s">
        <v>618</v>
      </c>
      <c r="H542">
        <v>2</v>
      </c>
      <c r="I542">
        <v>2</v>
      </c>
      <c r="N542" s="4" t="s">
        <v>618</v>
      </c>
      <c r="O542">
        <v>0</v>
      </c>
      <c r="Q542" s="4" t="s">
        <v>618</v>
      </c>
      <c r="R542">
        <v>1816271</v>
      </c>
      <c r="AB542">
        <v>0</v>
      </c>
      <c r="AC542">
        <v>0</v>
      </c>
      <c r="AD542">
        <v>0</v>
      </c>
      <c r="AE542">
        <v>0</v>
      </c>
    </row>
    <row r="543" spans="7:31" x14ac:dyDescent="0.3">
      <c r="G543" s="4" t="s">
        <v>619</v>
      </c>
      <c r="H543">
        <v>4</v>
      </c>
      <c r="I543">
        <v>2</v>
      </c>
      <c r="N543" s="4" t="s">
        <v>619</v>
      </c>
      <c r="O543">
        <v>202</v>
      </c>
      <c r="Q543" s="4" t="s">
        <v>619</v>
      </c>
      <c r="R543">
        <v>1577273</v>
      </c>
      <c r="AB543">
        <v>0</v>
      </c>
      <c r="AC543">
        <v>0</v>
      </c>
      <c r="AD543">
        <v>0</v>
      </c>
      <c r="AE543">
        <v>0</v>
      </c>
    </row>
    <row r="544" spans="7:31" x14ac:dyDescent="0.3">
      <c r="G544" s="4" t="s">
        <v>620</v>
      </c>
      <c r="H544">
        <v>3</v>
      </c>
      <c r="I544">
        <v>2</v>
      </c>
      <c r="N544" s="4" t="s">
        <v>620</v>
      </c>
      <c r="O544">
        <v>4</v>
      </c>
      <c r="Q544" s="4" t="s">
        <v>620</v>
      </c>
      <c r="R544">
        <v>1047335</v>
      </c>
      <c r="AB544">
        <v>0</v>
      </c>
      <c r="AC544">
        <v>0</v>
      </c>
      <c r="AD544">
        <v>0</v>
      </c>
      <c r="AE544">
        <v>0</v>
      </c>
    </row>
    <row r="545" spans="7:31" x14ac:dyDescent="0.3">
      <c r="G545" s="4" t="s">
        <v>621</v>
      </c>
      <c r="H545">
        <v>3</v>
      </c>
      <c r="I545">
        <v>2</v>
      </c>
      <c r="N545" s="4" t="s">
        <v>621</v>
      </c>
      <c r="O545">
        <v>17</v>
      </c>
      <c r="Q545" s="4" t="s">
        <v>621</v>
      </c>
      <c r="R545">
        <v>3298982</v>
      </c>
      <c r="AB545">
        <v>0</v>
      </c>
      <c r="AC545">
        <v>0</v>
      </c>
      <c r="AD545">
        <v>0</v>
      </c>
      <c r="AE545">
        <v>0</v>
      </c>
    </row>
    <row r="546" spans="7:31" x14ac:dyDescent="0.3">
      <c r="G546" s="4" t="s">
        <v>622</v>
      </c>
      <c r="H546">
        <v>5</v>
      </c>
      <c r="I546">
        <v>2</v>
      </c>
      <c r="N546" s="4" t="s">
        <v>622</v>
      </c>
      <c r="O546">
        <v>88</v>
      </c>
      <c r="Q546" s="4" t="s">
        <v>622</v>
      </c>
      <c r="R546">
        <v>1227256</v>
      </c>
      <c r="AB546">
        <v>0</v>
      </c>
      <c r="AC546">
        <v>0</v>
      </c>
      <c r="AD546">
        <v>0</v>
      </c>
      <c r="AE546">
        <v>0</v>
      </c>
    </row>
    <row r="547" spans="7:31" x14ac:dyDescent="0.3">
      <c r="G547" s="4" t="s">
        <v>623</v>
      </c>
      <c r="H547">
        <v>2</v>
      </c>
      <c r="I547">
        <v>2</v>
      </c>
      <c r="N547" s="4" t="s">
        <v>623</v>
      </c>
      <c r="O547">
        <v>4</v>
      </c>
      <c r="Q547" s="4" t="s">
        <v>623</v>
      </c>
      <c r="R547">
        <v>4312045</v>
      </c>
      <c r="AB547">
        <v>0</v>
      </c>
      <c r="AC547">
        <v>0</v>
      </c>
      <c r="AD547">
        <v>0</v>
      </c>
      <c r="AE547">
        <v>0</v>
      </c>
    </row>
    <row r="548" spans="7:31" x14ac:dyDescent="0.3">
      <c r="G548" s="4" t="s">
        <v>624</v>
      </c>
      <c r="H548">
        <v>2</v>
      </c>
      <c r="I548">
        <v>0</v>
      </c>
      <c r="N548" s="4" t="s">
        <v>624</v>
      </c>
      <c r="O548">
        <v>78</v>
      </c>
      <c r="Q548" s="4" t="s">
        <v>624</v>
      </c>
      <c r="R548">
        <v>1380860</v>
      </c>
      <c r="AB548">
        <v>0</v>
      </c>
      <c r="AC548">
        <v>0</v>
      </c>
      <c r="AD548">
        <v>0</v>
      </c>
      <c r="AE548">
        <v>0</v>
      </c>
    </row>
    <row r="549" spans="7:31" x14ac:dyDescent="0.3">
      <c r="G549" s="4" t="s">
        <v>625</v>
      </c>
      <c r="H549">
        <v>4</v>
      </c>
      <c r="I549">
        <v>2</v>
      </c>
      <c r="N549" s="4" t="s">
        <v>625</v>
      </c>
      <c r="O549">
        <v>13</v>
      </c>
      <c r="Q549" s="4" t="s">
        <v>625</v>
      </c>
      <c r="R549">
        <v>2117886</v>
      </c>
      <c r="AB549">
        <v>0</v>
      </c>
      <c r="AC549">
        <v>0</v>
      </c>
      <c r="AD549">
        <v>0</v>
      </c>
      <c r="AE549">
        <v>0</v>
      </c>
    </row>
    <row r="550" spans="7:31" x14ac:dyDescent="0.3">
      <c r="G550" s="4" t="s">
        <v>626</v>
      </c>
      <c r="H550">
        <v>2</v>
      </c>
      <c r="I550">
        <v>2</v>
      </c>
      <c r="N550" s="4" t="s">
        <v>626</v>
      </c>
      <c r="O550">
        <v>16</v>
      </c>
      <c r="Q550" s="4" t="s">
        <v>626</v>
      </c>
      <c r="R550">
        <v>1983886</v>
      </c>
      <c r="AB550">
        <v>0</v>
      </c>
      <c r="AC550">
        <v>0</v>
      </c>
      <c r="AD550">
        <v>0</v>
      </c>
      <c r="AE550">
        <v>0</v>
      </c>
    </row>
    <row r="551" spans="7:31" x14ac:dyDescent="0.3">
      <c r="G551" s="4" t="s">
        <v>627</v>
      </c>
      <c r="H551">
        <v>1</v>
      </c>
      <c r="I551">
        <v>2</v>
      </c>
      <c r="N551" s="4" t="s">
        <v>627</v>
      </c>
      <c r="O551">
        <v>0</v>
      </c>
      <c r="Q551" s="4" t="s">
        <v>627</v>
      </c>
      <c r="R551">
        <v>4699043</v>
      </c>
      <c r="AB551">
        <v>0</v>
      </c>
      <c r="AC551">
        <v>0</v>
      </c>
      <c r="AD551">
        <v>0</v>
      </c>
      <c r="AE551">
        <v>0</v>
      </c>
    </row>
    <row r="552" spans="7:31" x14ac:dyDescent="0.3">
      <c r="G552" s="4" t="s">
        <v>628</v>
      </c>
      <c r="H552">
        <v>6</v>
      </c>
      <c r="I552">
        <v>1</v>
      </c>
      <c r="N552" s="4" t="s">
        <v>628</v>
      </c>
      <c r="O552">
        <v>159</v>
      </c>
      <c r="Q552" s="4" t="s">
        <v>628</v>
      </c>
      <c r="R552">
        <v>1139893</v>
      </c>
      <c r="AB552">
        <v>0</v>
      </c>
      <c r="AC552">
        <v>0</v>
      </c>
      <c r="AD552">
        <v>0</v>
      </c>
      <c r="AE552">
        <v>0</v>
      </c>
    </row>
    <row r="553" spans="7:31" x14ac:dyDescent="0.3">
      <c r="G553" s="4" t="s">
        <v>629</v>
      </c>
      <c r="H553">
        <v>2</v>
      </c>
      <c r="I553">
        <v>2</v>
      </c>
      <c r="N553" s="4" t="s">
        <v>629</v>
      </c>
      <c r="O553">
        <v>0</v>
      </c>
      <c r="Q553" s="4" t="s">
        <v>629</v>
      </c>
      <c r="R553">
        <v>4681650</v>
      </c>
      <c r="AB553">
        <v>0</v>
      </c>
      <c r="AC553">
        <v>0</v>
      </c>
      <c r="AD553">
        <v>0</v>
      </c>
      <c r="AE553">
        <v>0</v>
      </c>
    </row>
    <row r="554" spans="7:31" x14ac:dyDescent="0.3">
      <c r="G554" s="4" t="s">
        <v>630</v>
      </c>
      <c r="H554">
        <v>2</v>
      </c>
      <c r="I554">
        <v>1</v>
      </c>
      <c r="N554" s="4" t="s">
        <v>630</v>
      </c>
      <c r="O554">
        <v>0</v>
      </c>
      <c r="Q554" s="4" t="s">
        <v>630</v>
      </c>
      <c r="R554">
        <v>4012798</v>
      </c>
      <c r="AB554">
        <v>0</v>
      </c>
      <c r="AC554">
        <v>0</v>
      </c>
      <c r="AD554">
        <v>0</v>
      </c>
      <c r="AE554">
        <v>0</v>
      </c>
    </row>
    <row r="555" spans="7:31" x14ac:dyDescent="0.3">
      <c r="G555" s="4" t="s">
        <v>631</v>
      </c>
      <c r="H555">
        <v>6</v>
      </c>
      <c r="I555">
        <v>2</v>
      </c>
      <c r="N555" s="4" t="s">
        <v>631</v>
      </c>
      <c r="O555">
        <v>2</v>
      </c>
      <c r="Q555" s="4" t="s">
        <v>631</v>
      </c>
      <c r="R555">
        <v>3222683</v>
      </c>
      <c r="AB555">
        <v>0</v>
      </c>
      <c r="AC555">
        <v>0</v>
      </c>
      <c r="AD555">
        <v>0</v>
      </c>
      <c r="AE555">
        <v>0</v>
      </c>
    </row>
    <row r="556" spans="7:31" x14ac:dyDescent="0.3">
      <c r="G556" s="4" t="s">
        <v>632</v>
      </c>
      <c r="H556">
        <v>3</v>
      </c>
      <c r="I556">
        <v>0</v>
      </c>
      <c r="N556" s="4" t="s">
        <v>632</v>
      </c>
      <c r="O556">
        <v>781</v>
      </c>
      <c r="Q556" s="4" t="s">
        <v>632</v>
      </c>
      <c r="R556">
        <v>254022</v>
      </c>
      <c r="AB556">
        <v>0</v>
      </c>
      <c r="AC556">
        <v>0</v>
      </c>
      <c r="AD556">
        <v>0</v>
      </c>
      <c r="AE556">
        <v>0</v>
      </c>
    </row>
    <row r="557" spans="7:31" x14ac:dyDescent="0.3">
      <c r="G557" s="4" t="s">
        <v>633</v>
      </c>
      <c r="H557">
        <v>4</v>
      </c>
      <c r="I557">
        <v>1</v>
      </c>
      <c r="N557" s="4" t="s">
        <v>633</v>
      </c>
      <c r="O557">
        <v>14</v>
      </c>
      <c r="Q557" s="4" t="s">
        <v>633</v>
      </c>
      <c r="R557">
        <v>1626593</v>
      </c>
      <c r="AB557">
        <v>0</v>
      </c>
      <c r="AC557">
        <v>0</v>
      </c>
      <c r="AD557">
        <v>0</v>
      </c>
      <c r="AE557">
        <v>0</v>
      </c>
    </row>
    <row r="558" spans="7:31" x14ac:dyDescent="0.3">
      <c r="G558" s="4" t="s">
        <v>634</v>
      </c>
      <c r="H558">
        <v>2</v>
      </c>
      <c r="I558">
        <v>1</v>
      </c>
      <c r="N558" s="4" t="s">
        <v>634</v>
      </c>
      <c r="O558">
        <v>6</v>
      </c>
      <c r="Q558" s="4" t="s">
        <v>634</v>
      </c>
      <c r="R558">
        <v>0</v>
      </c>
      <c r="AB558">
        <v>0</v>
      </c>
      <c r="AC558">
        <v>0</v>
      </c>
      <c r="AD558">
        <v>0</v>
      </c>
      <c r="AE558">
        <v>0</v>
      </c>
    </row>
    <row r="559" spans="7:31" x14ac:dyDescent="0.3">
      <c r="G559" s="4" t="s">
        <v>635</v>
      </c>
      <c r="H559">
        <v>2</v>
      </c>
      <c r="I559">
        <v>2</v>
      </c>
      <c r="N559" s="4" t="s">
        <v>635</v>
      </c>
      <c r="O559">
        <v>6</v>
      </c>
      <c r="Q559" s="4" t="s">
        <v>635</v>
      </c>
      <c r="R559">
        <v>2727244</v>
      </c>
      <c r="AB559">
        <v>0</v>
      </c>
      <c r="AC559">
        <v>0</v>
      </c>
      <c r="AD559">
        <v>0</v>
      </c>
      <c r="AE559">
        <v>0</v>
      </c>
    </row>
    <row r="560" spans="7:31" x14ac:dyDescent="0.3">
      <c r="G560" s="4" t="s">
        <v>636</v>
      </c>
      <c r="H560">
        <v>2</v>
      </c>
      <c r="I560">
        <v>2</v>
      </c>
      <c r="N560" s="4" t="s">
        <v>636</v>
      </c>
      <c r="O560">
        <v>0</v>
      </c>
      <c r="Q560" s="4" t="s">
        <v>636</v>
      </c>
      <c r="R560">
        <v>1794095</v>
      </c>
      <c r="AB560">
        <v>0</v>
      </c>
      <c r="AC560">
        <v>0</v>
      </c>
      <c r="AD560">
        <v>0</v>
      </c>
      <c r="AE560">
        <v>0</v>
      </c>
    </row>
    <row r="561" spans="7:31" x14ac:dyDescent="0.3">
      <c r="G561" s="4" t="s">
        <v>637</v>
      </c>
      <c r="H561">
        <v>2</v>
      </c>
      <c r="I561">
        <v>1</v>
      </c>
      <c r="N561" s="4" t="s">
        <v>637</v>
      </c>
      <c r="O561">
        <v>0</v>
      </c>
      <c r="Q561" s="4" t="s">
        <v>637</v>
      </c>
      <c r="R561">
        <v>2338571</v>
      </c>
      <c r="AB561">
        <v>0</v>
      </c>
      <c r="AC561">
        <v>0</v>
      </c>
      <c r="AD561">
        <v>0</v>
      </c>
      <c r="AE561">
        <v>0</v>
      </c>
    </row>
    <row r="562" spans="7:31" x14ac:dyDescent="0.3">
      <c r="G562" s="4" t="s">
        <v>638</v>
      </c>
      <c r="H562">
        <v>2</v>
      </c>
      <c r="I562">
        <v>2</v>
      </c>
      <c r="N562" s="4" t="s">
        <v>638</v>
      </c>
      <c r="O562">
        <v>3</v>
      </c>
      <c r="Q562" s="4" t="s">
        <v>638</v>
      </c>
      <c r="R562">
        <v>2679633</v>
      </c>
      <c r="AB562">
        <v>0</v>
      </c>
      <c r="AC562">
        <v>0</v>
      </c>
      <c r="AD562">
        <v>0</v>
      </c>
      <c r="AE562">
        <v>0</v>
      </c>
    </row>
    <row r="563" spans="7:31" x14ac:dyDescent="0.3">
      <c r="G563" s="4" t="s">
        <v>639</v>
      </c>
      <c r="H563">
        <v>6</v>
      </c>
      <c r="I563">
        <v>2</v>
      </c>
      <c r="N563" s="4" t="s">
        <v>639</v>
      </c>
      <c r="O563">
        <v>277</v>
      </c>
      <c r="Q563" s="4" t="s">
        <v>639</v>
      </c>
      <c r="R563">
        <v>655744</v>
      </c>
      <c r="AB563">
        <v>0</v>
      </c>
      <c r="AC563">
        <v>0</v>
      </c>
      <c r="AD563">
        <v>0</v>
      </c>
      <c r="AE563">
        <v>0</v>
      </c>
    </row>
    <row r="564" spans="7:31" x14ac:dyDescent="0.3">
      <c r="G564" s="4" t="s">
        <v>640</v>
      </c>
      <c r="H564">
        <v>5</v>
      </c>
      <c r="I564">
        <v>2</v>
      </c>
      <c r="N564" s="4" t="s">
        <v>640</v>
      </c>
      <c r="O564">
        <v>25</v>
      </c>
      <c r="Q564" s="4" t="s">
        <v>640</v>
      </c>
      <c r="R564">
        <v>1929569</v>
      </c>
      <c r="AB564">
        <v>0</v>
      </c>
      <c r="AC564">
        <v>0</v>
      </c>
      <c r="AD564">
        <v>0</v>
      </c>
      <c r="AE564">
        <v>0</v>
      </c>
    </row>
    <row r="565" spans="7:31" x14ac:dyDescent="0.3">
      <c r="G565" s="4" t="s">
        <v>641</v>
      </c>
      <c r="H565">
        <v>5</v>
      </c>
      <c r="I565">
        <v>2</v>
      </c>
      <c r="N565" s="4" t="s">
        <v>641</v>
      </c>
      <c r="O565">
        <v>55</v>
      </c>
      <c r="Q565" s="4" t="s">
        <v>641</v>
      </c>
      <c r="R565">
        <v>2010068</v>
      </c>
      <c r="AB565">
        <v>0</v>
      </c>
      <c r="AC565">
        <v>0</v>
      </c>
      <c r="AD565">
        <v>0</v>
      </c>
      <c r="AE565">
        <v>0</v>
      </c>
    </row>
    <row r="566" spans="7:31" x14ac:dyDescent="0.3">
      <c r="G566" s="4" t="s">
        <v>642</v>
      </c>
      <c r="H566">
        <v>0</v>
      </c>
      <c r="I566">
        <v>0</v>
      </c>
      <c r="N566" s="4" t="s">
        <v>642</v>
      </c>
      <c r="O566">
        <v>5</v>
      </c>
      <c r="Q566" s="4" t="s">
        <v>642</v>
      </c>
      <c r="R566">
        <v>3772903</v>
      </c>
      <c r="AB566">
        <v>0</v>
      </c>
      <c r="AC566">
        <v>0</v>
      </c>
      <c r="AD566">
        <v>0</v>
      </c>
      <c r="AE566">
        <v>0</v>
      </c>
    </row>
    <row r="567" spans="7:31" x14ac:dyDescent="0.3">
      <c r="G567" s="4" t="s">
        <v>643</v>
      </c>
      <c r="H567">
        <v>2</v>
      </c>
      <c r="I567">
        <v>0</v>
      </c>
      <c r="N567" s="4" t="s">
        <v>643</v>
      </c>
      <c r="O567">
        <v>0</v>
      </c>
      <c r="Q567" s="4" t="s">
        <v>643</v>
      </c>
      <c r="R567">
        <v>5000001</v>
      </c>
      <c r="AB567">
        <v>0</v>
      </c>
      <c r="AC567">
        <v>0</v>
      </c>
      <c r="AD567">
        <v>0</v>
      </c>
      <c r="AE567">
        <v>0</v>
      </c>
    </row>
    <row r="568" spans="7:31" x14ac:dyDescent="0.3">
      <c r="G568" s="4" t="s">
        <v>644</v>
      </c>
      <c r="H568">
        <v>6</v>
      </c>
      <c r="I568">
        <v>2</v>
      </c>
      <c r="N568" s="4" t="s">
        <v>644</v>
      </c>
      <c r="O568">
        <v>694</v>
      </c>
      <c r="Q568" s="4" t="s">
        <v>644</v>
      </c>
      <c r="R568">
        <v>290220</v>
      </c>
      <c r="AB568">
        <v>0</v>
      </c>
      <c r="AC568">
        <v>0</v>
      </c>
      <c r="AD568">
        <v>0</v>
      </c>
      <c r="AE568">
        <v>0</v>
      </c>
    </row>
    <row r="569" spans="7:31" x14ac:dyDescent="0.3">
      <c r="G569" s="4" t="s">
        <v>645</v>
      </c>
      <c r="H569">
        <v>2</v>
      </c>
      <c r="I569">
        <v>2</v>
      </c>
      <c r="N569" s="4" t="s">
        <v>645</v>
      </c>
      <c r="O569">
        <v>1</v>
      </c>
      <c r="Q569" s="4" t="s">
        <v>645</v>
      </c>
      <c r="R569">
        <v>3997277</v>
      </c>
      <c r="AB569">
        <v>0</v>
      </c>
      <c r="AC569">
        <v>0</v>
      </c>
      <c r="AD569">
        <v>0</v>
      </c>
      <c r="AE569">
        <v>0</v>
      </c>
    </row>
    <row r="570" spans="7:31" x14ac:dyDescent="0.3">
      <c r="G570" s="4" t="s">
        <v>646</v>
      </c>
      <c r="H570">
        <v>3</v>
      </c>
      <c r="I570">
        <v>2</v>
      </c>
      <c r="N570" s="4" t="s">
        <v>646</v>
      </c>
      <c r="O570">
        <v>6</v>
      </c>
      <c r="Q570" s="4" t="s">
        <v>646</v>
      </c>
      <c r="R570">
        <v>1978679</v>
      </c>
      <c r="AB570">
        <v>0</v>
      </c>
      <c r="AC570">
        <v>0</v>
      </c>
      <c r="AD570">
        <v>0</v>
      </c>
      <c r="AE570">
        <v>0</v>
      </c>
    </row>
    <row r="571" spans="7:31" x14ac:dyDescent="0.3">
      <c r="G571" s="4" t="s">
        <v>647</v>
      </c>
      <c r="H571">
        <v>3</v>
      </c>
      <c r="I571">
        <v>2</v>
      </c>
      <c r="N571" s="4" t="s">
        <v>647</v>
      </c>
      <c r="O571">
        <v>15</v>
      </c>
      <c r="Q571" s="4" t="s">
        <v>647</v>
      </c>
      <c r="R571">
        <v>2458087</v>
      </c>
      <c r="AB571">
        <v>0</v>
      </c>
      <c r="AC571">
        <v>0</v>
      </c>
      <c r="AD571">
        <v>0</v>
      </c>
      <c r="AE571">
        <v>0</v>
      </c>
    </row>
    <row r="572" spans="7:31" x14ac:dyDescent="0.3">
      <c r="G572" s="4" t="s">
        <v>648</v>
      </c>
      <c r="H572">
        <v>4</v>
      </c>
      <c r="I572">
        <v>2</v>
      </c>
      <c r="N572" s="4" t="s">
        <v>648</v>
      </c>
      <c r="O572">
        <v>123</v>
      </c>
      <c r="Q572" s="4" t="s">
        <v>648</v>
      </c>
      <c r="R572">
        <v>2306957</v>
      </c>
      <c r="AB572">
        <v>0</v>
      </c>
      <c r="AC572">
        <v>0</v>
      </c>
      <c r="AD572">
        <v>0</v>
      </c>
      <c r="AE572">
        <v>0</v>
      </c>
    </row>
    <row r="573" spans="7:31" x14ac:dyDescent="0.3">
      <c r="G573" s="4" t="s">
        <v>649</v>
      </c>
      <c r="H573">
        <v>0</v>
      </c>
      <c r="I573">
        <v>0</v>
      </c>
      <c r="N573" s="4" t="s">
        <v>649</v>
      </c>
      <c r="O573">
        <v>0</v>
      </c>
      <c r="Q573" s="4" t="s">
        <v>649</v>
      </c>
      <c r="R573">
        <v>5000001</v>
      </c>
      <c r="AB573">
        <v>0</v>
      </c>
      <c r="AC573">
        <v>0</v>
      </c>
      <c r="AD573">
        <v>0</v>
      </c>
      <c r="AE573">
        <v>0</v>
      </c>
    </row>
    <row r="574" spans="7:31" x14ac:dyDescent="0.3">
      <c r="G574" s="4" t="s">
        <v>650</v>
      </c>
      <c r="H574">
        <v>0</v>
      </c>
      <c r="I574">
        <v>0</v>
      </c>
      <c r="N574" s="4" t="s">
        <v>650</v>
      </c>
      <c r="O574">
        <v>0</v>
      </c>
      <c r="Q574" s="4" t="s">
        <v>650</v>
      </c>
      <c r="R574">
        <v>5000001</v>
      </c>
      <c r="AB574">
        <v>0</v>
      </c>
      <c r="AC574">
        <v>0</v>
      </c>
      <c r="AD574">
        <v>0</v>
      </c>
      <c r="AE574">
        <v>0</v>
      </c>
    </row>
    <row r="575" spans="7:31" x14ac:dyDescent="0.3">
      <c r="G575" s="4" t="s">
        <v>651</v>
      </c>
      <c r="H575">
        <v>0</v>
      </c>
      <c r="I575">
        <v>0</v>
      </c>
      <c r="N575" s="4" t="s">
        <v>651</v>
      </c>
      <c r="O575">
        <v>0</v>
      </c>
      <c r="Q575" s="4" t="s">
        <v>651</v>
      </c>
      <c r="R575">
        <v>5000001</v>
      </c>
      <c r="AB575">
        <v>0</v>
      </c>
      <c r="AC575">
        <v>0</v>
      </c>
      <c r="AD575">
        <v>0</v>
      </c>
      <c r="AE575">
        <v>0</v>
      </c>
    </row>
    <row r="576" spans="7:31" x14ac:dyDescent="0.3">
      <c r="G576" s="4" t="s">
        <v>652</v>
      </c>
      <c r="H576">
        <v>0</v>
      </c>
      <c r="I576">
        <v>0</v>
      </c>
      <c r="N576" s="4" t="s">
        <v>652</v>
      </c>
      <c r="O576">
        <v>0</v>
      </c>
      <c r="Q576" s="4" t="s">
        <v>652</v>
      </c>
      <c r="R576">
        <v>5000001</v>
      </c>
      <c r="AB576">
        <v>0</v>
      </c>
      <c r="AC576">
        <v>0</v>
      </c>
      <c r="AD576">
        <v>0</v>
      </c>
      <c r="AE576">
        <v>0</v>
      </c>
    </row>
    <row r="577" spans="7:31" x14ac:dyDescent="0.3">
      <c r="G577" s="4" t="s">
        <v>653</v>
      </c>
      <c r="H577">
        <v>3</v>
      </c>
      <c r="I577">
        <v>0</v>
      </c>
      <c r="N577" s="4" t="s">
        <v>653</v>
      </c>
      <c r="O577">
        <v>3</v>
      </c>
      <c r="Q577" s="4" t="s">
        <v>653</v>
      </c>
      <c r="R577">
        <v>5000001</v>
      </c>
      <c r="AB577">
        <v>0</v>
      </c>
      <c r="AC577">
        <v>0</v>
      </c>
      <c r="AD577">
        <v>0</v>
      </c>
      <c r="AE577">
        <v>0</v>
      </c>
    </row>
    <row r="578" spans="7:31" x14ac:dyDescent="0.3">
      <c r="G578" s="4" t="s">
        <v>654</v>
      </c>
      <c r="H578">
        <v>0</v>
      </c>
      <c r="I578">
        <v>0</v>
      </c>
      <c r="N578" s="4" t="s">
        <v>654</v>
      </c>
      <c r="O578">
        <v>0</v>
      </c>
      <c r="Q578" s="4" t="s">
        <v>654</v>
      </c>
      <c r="R578">
        <v>5000001</v>
      </c>
      <c r="AB578">
        <v>0</v>
      </c>
      <c r="AC578">
        <v>0</v>
      </c>
      <c r="AD578">
        <v>0</v>
      </c>
      <c r="AE578">
        <v>0</v>
      </c>
    </row>
    <row r="579" spans="7:31" x14ac:dyDescent="0.3">
      <c r="G579" s="4" t="s">
        <v>655</v>
      </c>
      <c r="H579">
        <v>1</v>
      </c>
      <c r="I579">
        <v>3</v>
      </c>
      <c r="N579" s="4" t="s">
        <v>655</v>
      </c>
      <c r="O579">
        <v>67</v>
      </c>
      <c r="Q579" s="4" t="s">
        <v>655</v>
      </c>
      <c r="R579">
        <v>2952804</v>
      </c>
      <c r="AB579">
        <v>0</v>
      </c>
      <c r="AC579">
        <v>0</v>
      </c>
      <c r="AD579">
        <v>0</v>
      </c>
      <c r="AE579">
        <v>0</v>
      </c>
    </row>
    <row r="580" spans="7:31" x14ac:dyDescent="0.3">
      <c r="G580" s="4" t="s">
        <v>656</v>
      </c>
      <c r="H580">
        <v>1</v>
      </c>
      <c r="I580">
        <v>4</v>
      </c>
      <c r="N580" s="4" t="s">
        <v>656</v>
      </c>
      <c r="O580">
        <v>0</v>
      </c>
      <c r="Q580" s="4" t="s">
        <v>656</v>
      </c>
      <c r="R580">
        <v>2838389</v>
      </c>
      <c r="AB580">
        <v>0</v>
      </c>
      <c r="AC580">
        <v>0</v>
      </c>
      <c r="AD580">
        <v>0</v>
      </c>
      <c r="AE580">
        <v>0</v>
      </c>
    </row>
    <row r="581" spans="7:31" x14ac:dyDescent="0.3">
      <c r="G581" s="4" t="s">
        <v>658</v>
      </c>
      <c r="H581">
        <v>1</v>
      </c>
      <c r="I581">
        <v>1</v>
      </c>
      <c r="N581" s="4" t="s">
        <v>658</v>
      </c>
      <c r="O581">
        <v>0</v>
      </c>
      <c r="Q581" s="4" t="s">
        <v>658</v>
      </c>
      <c r="R581">
        <v>5000001</v>
      </c>
      <c r="AB581">
        <v>0</v>
      </c>
      <c r="AC581">
        <v>0</v>
      </c>
      <c r="AD581">
        <v>0</v>
      </c>
      <c r="AE581">
        <v>0</v>
      </c>
    </row>
    <row r="582" spans="7:31" x14ac:dyDescent="0.3">
      <c r="G582" s="4" t="s">
        <v>659</v>
      </c>
      <c r="H582">
        <v>1</v>
      </c>
      <c r="I582">
        <v>0</v>
      </c>
      <c r="N582" s="4" t="s">
        <v>659</v>
      </c>
      <c r="O582">
        <v>0</v>
      </c>
      <c r="Q582" s="4" t="s">
        <v>659</v>
      </c>
      <c r="R582">
        <v>5000001</v>
      </c>
      <c r="AB582">
        <v>0</v>
      </c>
      <c r="AC582">
        <v>0</v>
      </c>
      <c r="AD582">
        <v>0</v>
      </c>
      <c r="AE582">
        <v>0</v>
      </c>
    </row>
    <row r="583" spans="7:31" x14ac:dyDescent="0.3">
      <c r="G583" s="4" t="s">
        <v>660</v>
      </c>
      <c r="H583">
        <v>0</v>
      </c>
      <c r="I583">
        <v>0</v>
      </c>
      <c r="N583" s="4" t="s">
        <v>660</v>
      </c>
      <c r="O583">
        <v>0</v>
      </c>
      <c r="Q583" s="4" t="s">
        <v>660</v>
      </c>
      <c r="R583">
        <v>5000001</v>
      </c>
      <c r="AB583">
        <v>0</v>
      </c>
      <c r="AC583">
        <v>0</v>
      </c>
      <c r="AD583">
        <v>0</v>
      </c>
      <c r="AE583">
        <v>0</v>
      </c>
    </row>
    <row r="584" spans="7:31" x14ac:dyDescent="0.3">
      <c r="G584" s="4" t="s">
        <v>661</v>
      </c>
      <c r="H584">
        <v>0</v>
      </c>
      <c r="I584">
        <v>0</v>
      </c>
      <c r="N584" s="4" t="s">
        <v>661</v>
      </c>
      <c r="O584">
        <v>0</v>
      </c>
      <c r="Q584" s="4" t="s">
        <v>661</v>
      </c>
      <c r="R584">
        <v>5000001</v>
      </c>
      <c r="AB584">
        <v>0</v>
      </c>
      <c r="AC584">
        <v>0</v>
      </c>
      <c r="AD584">
        <v>0</v>
      </c>
      <c r="AE584">
        <v>0</v>
      </c>
    </row>
    <row r="585" spans="7:31" x14ac:dyDescent="0.3">
      <c r="G585" s="4" t="s">
        <v>662</v>
      </c>
      <c r="H585">
        <v>3</v>
      </c>
      <c r="I585">
        <v>0</v>
      </c>
      <c r="N585" s="4" t="s">
        <v>662</v>
      </c>
      <c r="O585">
        <v>238</v>
      </c>
      <c r="Q585" s="4" t="s">
        <v>662</v>
      </c>
      <c r="R585">
        <v>1593356</v>
      </c>
      <c r="AB585">
        <v>0</v>
      </c>
      <c r="AC585">
        <v>0</v>
      </c>
      <c r="AD585">
        <v>0</v>
      </c>
      <c r="AE585">
        <v>0</v>
      </c>
    </row>
    <row r="586" spans="7:31" x14ac:dyDescent="0.3">
      <c r="G586" s="4" t="s">
        <v>663</v>
      </c>
      <c r="H586">
        <v>1</v>
      </c>
      <c r="I586">
        <v>0</v>
      </c>
      <c r="N586" s="4" t="s">
        <v>663</v>
      </c>
      <c r="O586">
        <v>0</v>
      </c>
      <c r="Q586" s="4" t="s">
        <v>663</v>
      </c>
      <c r="R586">
        <v>5000001</v>
      </c>
      <c r="AB586">
        <v>0</v>
      </c>
      <c r="AC586">
        <v>0</v>
      </c>
      <c r="AD586">
        <v>0</v>
      </c>
      <c r="AE586">
        <v>0</v>
      </c>
    </row>
    <row r="587" spans="7:31" x14ac:dyDescent="0.3">
      <c r="G587" s="4" t="s">
        <v>664</v>
      </c>
      <c r="H587">
        <v>0</v>
      </c>
      <c r="I587">
        <v>0</v>
      </c>
      <c r="N587" s="4" t="s">
        <v>664</v>
      </c>
      <c r="O587">
        <v>0</v>
      </c>
      <c r="Q587" s="4" t="s">
        <v>664</v>
      </c>
      <c r="R587">
        <v>2540795</v>
      </c>
      <c r="AB587">
        <v>0</v>
      </c>
      <c r="AC587">
        <v>0</v>
      </c>
      <c r="AD587">
        <v>0</v>
      </c>
      <c r="AE587">
        <v>0</v>
      </c>
    </row>
    <row r="588" spans="7:31" x14ac:dyDescent="0.3">
      <c r="G588" s="4" t="s">
        <v>665</v>
      </c>
      <c r="H588">
        <v>2</v>
      </c>
      <c r="I588">
        <v>0</v>
      </c>
      <c r="N588" s="4" t="s">
        <v>665</v>
      </c>
      <c r="O588">
        <v>0</v>
      </c>
      <c r="Q588" s="4" t="s">
        <v>665</v>
      </c>
      <c r="R588">
        <v>5000001</v>
      </c>
      <c r="AB588">
        <v>0</v>
      </c>
      <c r="AC588">
        <v>0</v>
      </c>
      <c r="AD588">
        <v>0</v>
      </c>
      <c r="AE588">
        <v>0</v>
      </c>
    </row>
    <row r="589" spans="7:31" x14ac:dyDescent="0.3">
      <c r="G589" s="4" t="s">
        <v>666</v>
      </c>
      <c r="H589">
        <v>1</v>
      </c>
      <c r="I589">
        <v>0</v>
      </c>
      <c r="N589" s="4" t="s">
        <v>666</v>
      </c>
      <c r="O589">
        <v>0</v>
      </c>
      <c r="Q589" s="4" t="s">
        <v>666</v>
      </c>
      <c r="R589">
        <v>5000001</v>
      </c>
      <c r="AB589">
        <v>0</v>
      </c>
      <c r="AC589">
        <v>0</v>
      </c>
      <c r="AD589">
        <v>0</v>
      </c>
      <c r="AE589">
        <v>0</v>
      </c>
    </row>
    <row r="590" spans="7:31" x14ac:dyDescent="0.3">
      <c r="G590" s="4" t="s">
        <v>667</v>
      </c>
      <c r="H590">
        <v>2</v>
      </c>
      <c r="I590">
        <v>0</v>
      </c>
      <c r="N590" s="4" t="s">
        <v>667</v>
      </c>
      <c r="O590">
        <v>117</v>
      </c>
      <c r="Q590" s="4" t="s">
        <v>667</v>
      </c>
      <c r="R590">
        <v>1836022</v>
      </c>
      <c r="AB590">
        <v>0</v>
      </c>
      <c r="AC590">
        <v>0</v>
      </c>
      <c r="AD590">
        <v>0</v>
      </c>
      <c r="AE590">
        <v>0</v>
      </c>
    </row>
    <row r="591" spans="7:31" x14ac:dyDescent="0.3">
      <c r="G591" s="4" t="s">
        <v>668</v>
      </c>
      <c r="H591">
        <v>1</v>
      </c>
      <c r="I591">
        <v>0</v>
      </c>
      <c r="N591" s="4" t="s">
        <v>668</v>
      </c>
      <c r="O591">
        <v>9</v>
      </c>
      <c r="Q591" s="4" t="s">
        <v>668</v>
      </c>
      <c r="R591">
        <v>5000001</v>
      </c>
      <c r="AB591">
        <v>0</v>
      </c>
      <c r="AC591">
        <v>0</v>
      </c>
      <c r="AD591">
        <v>0</v>
      </c>
      <c r="AE591">
        <v>0</v>
      </c>
    </row>
    <row r="592" spans="7:31" x14ac:dyDescent="0.3">
      <c r="G592" s="4" t="s">
        <v>669</v>
      </c>
      <c r="H592">
        <v>5</v>
      </c>
      <c r="I592">
        <v>0</v>
      </c>
      <c r="N592" s="4" t="s">
        <v>669</v>
      </c>
      <c r="O592">
        <v>13</v>
      </c>
      <c r="Q592" s="4" t="s">
        <v>669</v>
      </c>
      <c r="R592">
        <v>4298123</v>
      </c>
      <c r="AB592">
        <v>0</v>
      </c>
      <c r="AC592">
        <v>0</v>
      </c>
      <c r="AD592">
        <v>0</v>
      </c>
      <c r="AE592">
        <v>0</v>
      </c>
    </row>
    <row r="593" spans="7:31" x14ac:dyDescent="0.3">
      <c r="G593" s="4" t="s">
        <v>670</v>
      </c>
      <c r="H593">
        <v>6</v>
      </c>
      <c r="I593">
        <v>0</v>
      </c>
      <c r="N593" s="4" t="s">
        <v>670</v>
      </c>
      <c r="O593">
        <v>103</v>
      </c>
      <c r="Q593" s="4" t="s">
        <v>670</v>
      </c>
      <c r="R593">
        <v>2937465</v>
      </c>
      <c r="AB593">
        <v>0</v>
      </c>
      <c r="AC593">
        <v>0</v>
      </c>
      <c r="AD593">
        <v>0</v>
      </c>
      <c r="AE593">
        <v>0</v>
      </c>
    </row>
    <row r="594" spans="7:31" x14ac:dyDescent="0.3">
      <c r="G594" s="4" t="s">
        <v>671</v>
      </c>
      <c r="H594">
        <v>1</v>
      </c>
      <c r="I594">
        <v>0</v>
      </c>
      <c r="N594" s="4" t="s">
        <v>671</v>
      </c>
      <c r="O594">
        <v>4</v>
      </c>
      <c r="Q594" s="4" t="s">
        <v>671</v>
      </c>
      <c r="R594">
        <v>5000001</v>
      </c>
      <c r="AB594">
        <v>0</v>
      </c>
      <c r="AC594">
        <v>0</v>
      </c>
      <c r="AD594">
        <v>0</v>
      </c>
      <c r="AE594">
        <v>0</v>
      </c>
    </row>
    <row r="595" spans="7:31" x14ac:dyDescent="0.3">
      <c r="G595" s="4" t="s">
        <v>672</v>
      </c>
      <c r="H595">
        <v>1</v>
      </c>
      <c r="I595">
        <v>0</v>
      </c>
      <c r="N595" s="4" t="s">
        <v>672</v>
      </c>
      <c r="O595">
        <v>2</v>
      </c>
      <c r="Q595" s="4" t="s">
        <v>672</v>
      </c>
      <c r="R595">
        <v>3763083</v>
      </c>
      <c r="AB595">
        <v>0</v>
      </c>
      <c r="AC595">
        <v>0</v>
      </c>
      <c r="AD595">
        <v>0</v>
      </c>
      <c r="AE595">
        <v>0</v>
      </c>
    </row>
    <row r="596" spans="7:31" x14ac:dyDescent="0.3">
      <c r="G596" s="4" t="s">
        <v>674</v>
      </c>
      <c r="H596">
        <v>1</v>
      </c>
      <c r="I596">
        <v>0</v>
      </c>
      <c r="N596" s="4" t="s">
        <v>674</v>
      </c>
      <c r="O596">
        <v>4</v>
      </c>
      <c r="Q596" s="4" t="s">
        <v>674</v>
      </c>
      <c r="R596">
        <v>5000001</v>
      </c>
      <c r="AB596">
        <v>0</v>
      </c>
      <c r="AC596">
        <v>0</v>
      </c>
      <c r="AD596">
        <v>0</v>
      </c>
      <c r="AE596">
        <v>0</v>
      </c>
    </row>
    <row r="597" spans="7:31" x14ac:dyDescent="0.3">
      <c r="G597" s="4" t="s">
        <v>675</v>
      </c>
      <c r="H597">
        <v>0</v>
      </c>
      <c r="I597">
        <v>0</v>
      </c>
      <c r="N597" s="4" t="s">
        <v>675</v>
      </c>
      <c r="O597">
        <v>0</v>
      </c>
      <c r="Q597" s="4" t="s">
        <v>675</v>
      </c>
      <c r="R597">
        <v>5000001</v>
      </c>
      <c r="AB597">
        <v>0</v>
      </c>
      <c r="AC597">
        <v>0</v>
      </c>
      <c r="AD597">
        <v>0</v>
      </c>
      <c r="AE597">
        <v>0</v>
      </c>
    </row>
    <row r="598" spans="7:31" x14ac:dyDescent="0.3">
      <c r="G598" s="4" t="s">
        <v>676</v>
      </c>
      <c r="H598">
        <v>4</v>
      </c>
      <c r="I598">
        <v>0</v>
      </c>
      <c r="N598" s="4" t="s">
        <v>676</v>
      </c>
      <c r="O598">
        <v>18</v>
      </c>
      <c r="Q598" s="4" t="s">
        <v>676</v>
      </c>
      <c r="R598">
        <v>5000001</v>
      </c>
      <c r="AB598">
        <v>0</v>
      </c>
      <c r="AC598">
        <v>0</v>
      </c>
      <c r="AD598">
        <v>0</v>
      </c>
      <c r="AE598">
        <v>0</v>
      </c>
    </row>
    <row r="599" spans="7:31" x14ac:dyDescent="0.3">
      <c r="G599" s="4" t="s">
        <v>677</v>
      </c>
      <c r="H599">
        <v>2</v>
      </c>
      <c r="I599">
        <v>0</v>
      </c>
      <c r="N599" s="4" t="s">
        <v>677</v>
      </c>
      <c r="O599">
        <v>3</v>
      </c>
      <c r="Q599" s="4" t="s">
        <v>677</v>
      </c>
      <c r="R599">
        <v>5000001</v>
      </c>
      <c r="AB599">
        <v>0</v>
      </c>
      <c r="AC599">
        <v>0</v>
      </c>
      <c r="AD599">
        <v>0</v>
      </c>
      <c r="AE599">
        <v>0</v>
      </c>
    </row>
    <row r="600" spans="7:31" x14ac:dyDescent="0.3">
      <c r="G600" s="4" t="s">
        <v>678</v>
      </c>
      <c r="H600">
        <v>4</v>
      </c>
      <c r="I600">
        <v>2</v>
      </c>
      <c r="N600" s="4" t="s">
        <v>678</v>
      </c>
      <c r="O600">
        <v>2</v>
      </c>
      <c r="Q600" s="4" t="s">
        <v>678</v>
      </c>
      <c r="R600">
        <v>5000001</v>
      </c>
      <c r="AB600">
        <v>0</v>
      </c>
      <c r="AC600">
        <v>0</v>
      </c>
      <c r="AD600">
        <v>0</v>
      </c>
      <c r="AE600">
        <v>0</v>
      </c>
    </row>
    <row r="601" spans="7:31" x14ac:dyDescent="0.3">
      <c r="G601" s="4" t="s">
        <v>679</v>
      </c>
      <c r="H601">
        <v>0</v>
      </c>
      <c r="I601">
        <v>0</v>
      </c>
      <c r="N601" s="4" t="s">
        <v>679</v>
      </c>
      <c r="O601">
        <v>0</v>
      </c>
      <c r="Q601" s="4" t="s">
        <v>679</v>
      </c>
      <c r="R601">
        <v>5000001</v>
      </c>
      <c r="AB601">
        <v>0</v>
      </c>
      <c r="AC601">
        <v>0</v>
      </c>
      <c r="AD601">
        <v>0</v>
      </c>
      <c r="AE601">
        <v>0</v>
      </c>
    </row>
    <row r="602" spans="7:31" x14ac:dyDescent="0.3">
      <c r="G602" s="4" t="s">
        <v>680</v>
      </c>
      <c r="H602">
        <v>0</v>
      </c>
      <c r="I602">
        <v>0</v>
      </c>
      <c r="N602" s="4" t="s">
        <v>680</v>
      </c>
      <c r="O602">
        <v>0</v>
      </c>
      <c r="Q602" s="4" t="s">
        <v>680</v>
      </c>
      <c r="R602">
        <v>5000001</v>
      </c>
      <c r="AB602">
        <v>0</v>
      </c>
      <c r="AC602">
        <v>0</v>
      </c>
      <c r="AD602">
        <v>0</v>
      </c>
      <c r="AE602">
        <v>0</v>
      </c>
    </row>
    <row r="603" spans="7:31" x14ac:dyDescent="0.3">
      <c r="G603" s="4" t="s">
        <v>681</v>
      </c>
      <c r="H603">
        <v>2</v>
      </c>
      <c r="I603">
        <v>1</v>
      </c>
      <c r="N603" s="4" t="s">
        <v>681</v>
      </c>
      <c r="O603">
        <v>6</v>
      </c>
      <c r="Q603" s="4" t="s">
        <v>681</v>
      </c>
      <c r="R603">
        <v>5000001</v>
      </c>
      <c r="AB603">
        <v>0</v>
      </c>
      <c r="AC603">
        <v>0</v>
      </c>
      <c r="AD603">
        <v>0</v>
      </c>
      <c r="AE603">
        <v>0</v>
      </c>
    </row>
    <row r="604" spans="7:31" x14ac:dyDescent="0.3">
      <c r="G604" s="4" t="s">
        <v>682</v>
      </c>
      <c r="H604">
        <v>1</v>
      </c>
      <c r="I604">
        <v>0</v>
      </c>
      <c r="N604" s="4" t="s">
        <v>682</v>
      </c>
      <c r="O604">
        <v>0</v>
      </c>
      <c r="Q604" s="4" t="s">
        <v>682</v>
      </c>
      <c r="R604">
        <v>5000001</v>
      </c>
      <c r="AB604">
        <v>0</v>
      </c>
      <c r="AC604">
        <v>0</v>
      </c>
      <c r="AD604">
        <v>0</v>
      </c>
      <c r="AE604">
        <v>0</v>
      </c>
    </row>
    <row r="605" spans="7:31" x14ac:dyDescent="0.3">
      <c r="G605" s="4" t="s">
        <v>683</v>
      </c>
      <c r="H605">
        <v>0</v>
      </c>
      <c r="I605">
        <v>0</v>
      </c>
      <c r="N605" s="4" t="s">
        <v>683</v>
      </c>
      <c r="O605">
        <v>0</v>
      </c>
      <c r="Q605" s="4" t="s">
        <v>683</v>
      </c>
      <c r="R605">
        <v>5000001</v>
      </c>
      <c r="AB605">
        <v>0</v>
      </c>
      <c r="AC605">
        <v>0</v>
      </c>
      <c r="AD605">
        <v>0</v>
      </c>
      <c r="AE605">
        <v>0</v>
      </c>
    </row>
    <row r="606" spans="7:31" x14ac:dyDescent="0.3">
      <c r="G606" s="4" t="s">
        <v>684</v>
      </c>
      <c r="H606">
        <v>0</v>
      </c>
      <c r="I606">
        <v>0</v>
      </c>
      <c r="N606" s="4" t="s">
        <v>684</v>
      </c>
      <c r="O606">
        <v>0</v>
      </c>
      <c r="Q606" s="4" t="s">
        <v>684</v>
      </c>
      <c r="R606">
        <v>5000001</v>
      </c>
      <c r="AB606">
        <v>0</v>
      </c>
      <c r="AC606">
        <v>0</v>
      </c>
      <c r="AD606">
        <v>0</v>
      </c>
      <c r="AE606">
        <v>0</v>
      </c>
    </row>
    <row r="607" spans="7:31" x14ac:dyDescent="0.3">
      <c r="G607" s="4" t="s">
        <v>685</v>
      </c>
      <c r="H607">
        <v>0</v>
      </c>
      <c r="I607">
        <v>0</v>
      </c>
      <c r="N607" s="4" t="s">
        <v>685</v>
      </c>
      <c r="O607">
        <v>0</v>
      </c>
      <c r="Q607" s="4" t="s">
        <v>685</v>
      </c>
      <c r="R607">
        <v>5000001</v>
      </c>
      <c r="AB607">
        <v>0</v>
      </c>
      <c r="AC607">
        <v>0</v>
      </c>
      <c r="AD607">
        <v>0</v>
      </c>
      <c r="AE607">
        <v>0</v>
      </c>
    </row>
    <row r="608" spans="7:31" x14ac:dyDescent="0.3">
      <c r="G608" s="4" t="s">
        <v>686</v>
      </c>
      <c r="H608">
        <v>1</v>
      </c>
      <c r="I608">
        <v>0</v>
      </c>
      <c r="N608" s="4" t="s">
        <v>686</v>
      </c>
      <c r="O608">
        <v>0</v>
      </c>
      <c r="Q608" s="4" t="s">
        <v>686</v>
      </c>
      <c r="R608">
        <v>5000001</v>
      </c>
      <c r="AB608">
        <v>0</v>
      </c>
      <c r="AC608">
        <v>0</v>
      </c>
      <c r="AD608">
        <v>0</v>
      </c>
      <c r="AE608">
        <v>0</v>
      </c>
    </row>
    <row r="609" spans="7:31" x14ac:dyDescent="0.3">
      <c r="G609" s="4" t="s">
        <v>687</v>
      </c>
      <c r="H609">
        <v>0</v>
      </c>
      <c r="I609">
        <v>0</v>
      </c>
      <c r="N609" s="4" t="s">
        <v>687</v>
      </c>
      <c r="O609">
        <v>0</v>
      </c>
      <c r="Q609" s="4" t="s">
        <v>687</v>
      </c>
      <c r="R609">
        <v>5000001</v>
      </c>
      <c r="AB609">
        <v>0</v>
      </c>
      <c r="AC609">
        <v>0</v>
      </c>
      <c r="AD609">
        <v>0</v>
      </c>
      <c r="AE609">
        <v>0</v>
      </c>
    </row>
    <row r="610" spans="7:31" x14ac:dyDescent="0.3">
      <c r="G610" s="4" t="s">
        <v>688</v>
      </c>
      <c r="H610">
        <v>0</v>
      </c>
      <c r="I610">
        <v>0</v>
      </c>
      <c r="N610" s="4" t="s">
        <v>688</v>
      </c>
      <c r="O610">
        <v>0</v>
      </c>
      <c r="Q610" s="4" t="s">
        <v>688</v>
      </c>
      <c r="R610">
        <v>5000001</v>
      </c>
      <c r="AB610">
        <v>0</v>
      </c>
      <c r="AC610">
        <v>0</v>
      </c>
      <c r="AD610">
        <v>0</v>
      </c>
      <c r="AE610">
        <v>0</v>
      </c>
    </row>
    <row r="611" spans="7:31" x14ac:dyDescent="0.3">
      <c r="G611" s="4" t="s">
        <v>689</v>
      </c>
      <c r="H611">
        <v>0</v>
      </c>
      <c r="I611">
        <v>0</v>
      </c>
      <c r="N611" s="4" t="s">
        <v>689</v>
      </c>
      <c r="O611">
        <v>0</v>
      </c>
      <c r="Q611" s="4" t="s">
        <v>689</v>
      </c>
      <c r="R611">
        <v>5000001</v>
      </c>
      <c r="AB611">
        <v>0</v>
      </c>
      <c r="AC611">
        <v>0</v>
      </c>
      <c r="AD611">
        <v>0</v>
      </c>
      <c r="AE611">
        <v>0</v>
      </c>
    </row>
    <row r="612" spans="7:31" x14ac:dyDescent="0.3">
      <c r="G612" s="4" t="s">
        <v>690</v>
      </c>
      <c r="H612">
        <v>0</v>
      </c>
      <c r="I612">
        <v>0</v>
      </c>
      <c r="N612" s="4" t="s">
        <v>690</v>
      </c>
      <c r="O612">
        <v>0</v>
      </c>
      <c r="Q612" s="4" t="s">
        <v>690</v>
      </c>
      <c r="R612">
        <v>5000001</v>
      </c>
      <c r="AB612">
        <v>0</v>
      </c>
      <c r="AC612">
        <v>0</v>
      </c>
      <c r="AD612">
        <v>0</v>
      </c>
      <c r="AE612">
        <v>0</v>
      </c>
    </row>
    <row r="613" spans="7:31" x14ac:dyDescent="0.3">
      <c r="G613" s="4" t="s">
        <v>691</v>
      </c>
      <c r="H613">
        <v>1</v>
      </c>
      <c r="I613">
        <v>0</v>
      </c>
      <c r="N613" s="4" t="s">
        <v>691</v>
      </c>
      <c r="O613">
        <v>0</v>
      </c>
      <c r="Q613" s="4" t="s">
        <v>691</v>
      </c>
      <c r="R613">
        <v>5000001</v>
      </c>
      <c r="AB613">
        <v>0</v>
      </c>
      <c r="AC613">
        <v>0</v>
      </c>
      <c r="AD613">
        <v>0</v>
      </c>
      <c r="AE613">
        <v>0</v>
      </c>
    </row>
    <row r="614" spans="7:31" x14ac:dyDescent="0.3">
      <c r="G614" s="4" t="s">
        <v>692</v>
      </c>
      <c r="H614">
        <v>0</v>
      </c>
      <c r="I614">
        <v>0</v>
      </c>
      <c r="N614" s="4" t="s">
        <v>692</v>
      </c>
      <c r="O614">
        <v>0</v>
      </c>
      <c r="Q614" s="4" t="s">
        <v>692</v>
      </c>
      <c r="R614">
        <v>5000001</v>
      </c>
      <c r="AB614">
        <v>0</v>
      </c>
      <c r="AC614">
        <v>0</v>
      </c>
      <c r="AD614">
        <v>0</v>
      </c>
      <c r="AE614">
        <v>0</v>
      </c>
    </row>
    <row r="615" spans="7:31" x14ac:dyDescent="0.3">
      <c r="G615" s="4" t="s">
        <v>693</v>
      </c>
      <c r="H615">
        <v>3</v>
      </c>
      <c r="I615">
        <v>0</v>
      </c>
      <c r="N615" s="4" t="s">
        <v>693</v>
      </c>
      <c r="O615">
        <v>0</v>
      </c>
      <c r="Q615" s="4" t="s">
        <v>693</v>
      </c>
      <c r="R615">
        <v>5000001</v>
      </c>
      <c r="AB615">
        <v>0</v>
      </c>
      <c r="AC615">
        <v>0</v>
      </c>
      <c r="AD615">
        <v>0</v>
      </c>
      <c r="AE615">
        <v>0</v>
      </c>
    </row>
    <row r="616" spans="7:31" x14ac:dyDescent="0.3">
      <c r="G616" s="4" t="s">
        <v>694</v>
      </c>
      <c r="H616">
        <v>0</v>
      </c>
      <c r="I616">
        <v>0</v>
      </c>
      <c r="N616" s="4" t="s">
        <v>694</v>
      </c>
      <c r="O616">
        <v>0</v>
      </c>
      <c r="Q616" s="4" t="s">
        <v>694</v>
      </c>
      <c r="R616">
        <v>5000001</v>
      </c>
      <c r="AB616">
        <v>0</v>
      </c>
      <c r="AC616">
        <v>0</v>
      </c>
      <c r="AD616">
        <v>0</v>
      </c>
      <c r="AE616">
        <v>0</v>
      </c>
    </row>
    <row r="617" spans="7:31" x14ac:dyDescent="0.3">
      <c r="G617" s="4" t="s">
        <v>695</v>
      </c>
      <c r="H617">
        <v>0</v>
      </c>
      <c r="I617">
        <v>0</v>
      </c>
      <c r="N617" s="4" t="s">
        <v>695</v>
      </c>
      <c r="O617">
        <v>0</v>
      </c>
      <c r="Q617" s="4" t="s">
        <v>695</v>
      </c>
      <c r="R617">
        <v>5000001</v>
      </c>
      <c r="AB617">
        <v>0</v>
      </c>
      <c r="AC617">
        <v>0</v>
      </c>
      <c r="AD617">
        <v>0</v>
      </c>
      <c r="AE617">
        <v>0</v>
      </c>
    </row>
    <row r="618" spans="7:31" x14ac:dyDescent="0.3">
      <c r="G618" s="4" t="s">
        <v>696</v>
      </c>
      <c r="H618">
        <v>0</v>
      </c>
      <c r="I618">
        <v>0</v>
      </c>
      <c r="N618" s="4" t="s">
        <v>696</v>
      </c>
      <c r="O618">
        <v>0</v>
      </c>
      <c r="Q618" s="4" t="s">
        <v>696</v>
      </c>
      <c r="R618">
        <v>5000001</v>
      </c>
      <c r="AB618">
        <v>0</v>
      </c>
      <c r="AC618">
        <v>0</v>
      </c>
      <c r="AD618">
        <v>0</v>
      </c>
      <c r="AE618">
        <v>0</v>
      </c>
    </row>
    <row r="619" spans="7:31" x14ac:dyDescent="0.3">
      <c r="G619" s="4" t="s">
        <v>697</v>
      </c>
      <c r="H619">
        <v>0</v>
      </c>
      <c r="I619">
        <v>0</v>
      </c>
      <c r="N619" s="4" t="s">
        <v>697</v>
      </c>
      <c r="O619">
        <v>0</v>
      </c>
      <c r="Q619" s="4" t="s">
        <v>697</v>
      </c>
      <c r="R619">
        <v>5000001</v>
      </c>
      <c r="AB619">
        <v>0</v>
      </c>
      <c r="AC619">
        <v>0</v>
      </c>
      <c r="AD619">
        <v>0</v>
      </c>
      <c r="AE619">
        <v>0</v>
      </c>
    </row>
    <row r="620" spans="7:31" x14ac:dyDescent="0.3">
      <c r="G620" s="4" t="s">
        <v>698</v>
      </c>
      <c r="H620">
        <v>0</v>
      </c>
      <c r="I620">
        <v>0</v>
      </c>
      <c r="N620" s="4" t="s">
        <v>698</v>
      </c>
      <c r="O620">
        <v>0</v>
      </c>
      <c r="Q620" s="4" t="s">
        <v>698</v>
      </c>
      <c r="R620">
        <v>5000001</v>
      </c>
      <c r="AB620">
        <v>0</v>
      </c>
      <c r="AC620">
        <v>0</v>
      </c>
      <c r="AD620">
        <v>0</v>
      </c>
      <c r="AE620">
        <v>0</v>
      </c>
    </row>
    <row r="621" spans="7:31" x14ac:dyDescent="0.3">
      <c r="G621" s="4" t="s">
        <v>699</v>
      </c>
      <c r="H621">
        <v>0</v>
      </c>
      <c r="I621">
        <v>0</v>
      </c>
      <c r="N621" s="4" t="s">
        <v>699</v>
      </c>
      <c r="O621">
        <v>0</v>
      </c>
      <c r="Q621" s="4" t="s">
        <v>699</v>
      </c>
      <c r="R621">
        <v>5000001</v>
      </c>
      <c r="AB621">
        <v>0</v>
      </c>
      <c r="AC621">
        <v>0</v>
      </c>
      <c r="AD621">
        <v>0</v>
      </c>
      <c r="AE621">
        <v>0</v>
      </c>
    </row>
    <row r="622" spans="7:31" x14ac:dyDescent="0.3">
      <c r="G622" s="4" t="s">
        <v>700</v>
      </c>
      <c r="H622">
        <v>0</v>
      </c>
      <c r="I622">
        <v>0</v>
      </c>
      <c r="N622" s="4" t="s">
        <v>700</v>
      </c>
      <c r="O622">
        <v>0</v>
      </c>
      <c r="Q622" s="4" t="s">
        <v>700</v>
      </c>
      <c r="R622">
        <v>5000001</v>
      </c>
      <c r="AB622">
        <v>0</v>
      </c>
      <c r="AC622">
        <v>0</v>
      </c>
      <c r="AD622">
        <v>0</v>
      </c>
      <c r="AE622">
        <v>0</v>
      </c>
    </row>
    <row r="623" spans="7:31" x14ac:dyDescent="0.3">
      <c r="G623" s="4" t="s">
        <v>701</v>
      </c>
      <c r="H623">
        <v>0</v>
      </c>
      <c r="I623">
        <v>0</v>
      </c>
      <c r="N623" s="4" t="s">
        <v>701</v>
      </c>
      <c r="O623">
        <v>0</v>
      </c>
      <c r="Q623" s="4" t="s">
        <v>701</v>
      </c>
      <c r="R623">
        <v>5000001</v>
      </c>
      <c r="AB623">
        <v>0</v>
      </c>
      <c r="AC623">
        <v>0</v>
      </c>
      <c r="AD623">
        <v>0</v>
      </c>
      <c r="AE623">
        <v>0</v>
      </c>
    </row>
    <row r="624" spans="7:31" x14ac:dyDescent="0.3">
      <c r="G624" s="4" t="s">
        <v>702</v>
      </c>
      <c r="H624">
        <v>0</v>
      </c>
      <c r="I624">
        <v>0</v>
      </c>
      <c r="N624" s="4" t="s">
        <v>702</v>
      </c>
      <c r="O624">
        <v>0</v>
      </c>
      <c r="Q624" s="4" t="s">
        <v>702</v>
      </c>
      <c r="R624">
        <v>5000001</v>
      </c>
      <c r="AB624">
        <v>0</v>
      </c>
      <c r="AC624">
        <v>0</v>
      </c>
      <c r="AD624">
        <v>0</v>
      </c>
      <c r="AE624">
        <v>0</v>
      </c>
    </row>
    <row r="625" spans="7:31" x14ac:dyDescent="0.3">
      <c r="G625" s="4" t="s">
        <v>703</v>
      </c>
      <c r="H625">
        <v>1</v>
      </c>
      <c r="I625">
        <v>0</v>
      </c>
      <c r="N625" s="4" t="s">
        <v>703</v>
      </c>
      <c r="O625">
        <v>0</v>
      </c>
      <c r="Q625" s="4" t="s">
        <v>703</v>
      </c>
      <c r="R625">
        <v>5000001</v>
      </c>
      <c r="AB625">
        <v>0</v>
      </c>
      <c r="AC625">
        <v>0</v>
      </c>
      <c r="AD625">
        <v>0</v>
      </c>
      <c r="AE625">
        <v>0</v>
      </c>
    </row>
    <row r="626" spans="7:31" x14ac:dyDescent="0.3">
      <c r="G626" s="4" t="s">
        <v>704</v>
      </c>
      <c r="H626">
        <v>0</v>
      </c>
      <c r="I626">
        <v>0</v>
      </c>
      <c r="N626" s="4" t="s">
        <v>704</v>
      </c>
      <c r="O626">
        <v>0</v>
      </c>
      <c r="Q626" s="4" t="s">
        <v>704</v>
      </c>
      <c r="R626">
        <v>5000001</v>
      </c>
      <c r="AB626">
        <v>0</v>
      </c>
      <c r="AC626">
        <v>0</v>
      </c>
      <c r="AD626">
        <v>0</v>
      </c>
      <c r="AE626">
        <v>0</v>
      </c>
    </row>
    <row r="627" spans="7:31" x14ac:dyDescent="0.3">
      <c r="G627" s="4" t="s">
        <v>705</v>
      </c>
      <c r="H627">
        <v>4</v>
      </c>
      <c r="I627">
        <v>2</v>
      </c>
      <c r="N627" s="4" t="s">
        <v>705</v>
      </c>
      <c r="O627">
        <v>254</v>
      </c>
      <c r="Q627" s="4" t="s">
        <v>705</v>
      </c>
      <c r="R627">
        <v>1577855</v>
      </c>
      <c r="AB627">
        <v>0</v>
      </c>
      <c r="AC627">
        <v>0</v>
      </c>
      <c r="AD627">
        <v>0</v>
      </c>
      <c r="AE627">
        <v>0</v>
      </c>
    </row>
    <row r="628" spans="7:31" x14ac:dyDescent="0.3">
      <c r="G628" s="4" t="s">
        <v>706</v>
      </c>
      <c r="H628">
        <v>3</v>
      </c>
      <c r="I628">
        <v>1</v>
      </c>
      <c r="N628" s="4" t="s">
        <v>706</v>
      </c>
      <c r="O628">
        <v>0</v>
      </c>
      <c r="Q628" s="4" t="s">
        <v>706</v>
      </c>
      <c r="R628">
        <v>5000001</v>
      </c>
      <c r="AB628">
        <v>0</v>
      </c>
      <c r="AC628">
        <v>0</v>
      </c>
      <c r="AD628">
        <v>0</v>
      </c>
      <c r="AE628">
        <v>0</v>
      </c>
    </row>
    <row r="629" spans="7:31" x14ac:dyDescent="0.3">
      <c r="G629" s="4" t="s">
        <v>707</v>
      </c>
      <c r="H629">
        <v>2</v>
      </c>
      <c r="I629">
        <v>1</v>
      </c>
      <c r="N629" s="4" t="s">
        <v>707</v>
      </c>
      <c r="O629">
        <v>298</v>
      </c>
      <c r="Q629" s="4" t="s">
        <v>707</v>
      </c>
      <c r="R629">
        <v>5000001</v>
      </c>
      <c r="AB629">
        <v>0</v>
      </c>
      <c r="AC629">
        <v>0</v>
      </c>
      <c r="AD629">
        <v>0</v>
      </c>
      <c r="AE629">
        <v>0</v>
      </c>
    </row>
    <row r="630" spans="7:31" x14ac:dyDescent="0.3">
      <c r="G630" s="4" t="s">
        <v>708</v>
      </c>
      <c r="H630">
        <v>4</v>
      </c>
      <c r="I630">
        <v>1</v>
      </c>
      <c r="N630" s="4" t="s">
        <v>708</v>
      </c>
      <c r="O630">
        <v>311</v>
      </c>
      <c r="Q630" s="4" t="s">
        <v>708</v>
      </c>
      <c r="R630">
        <v>503642</v>
      </c>
      <c r="AB630">
        <v>0</v>
      </c>
      <c r="AC630">
        <v>0</v>
      </c>
      <c r="AD630">
        <v>0</v>
      </c>
      <c r="AE630">
        <v>0</v>
      </c>
    </row>
    <row r="631" spans="7:31" x14ac:dyDescent="0.3">
      <c r="G631" s="4" t="s">
        <v>709</v>
      </c>
      <c r="H631">
        <v>5</v>
      </c>
      <c r="I631">
        <v>2</v>
      </c>
      <c r="N631" s="4" t="s">
        <v>709</v>
      </c>
      <c r="O631">
        <v>76</v>
      </c>
      <c r="Q631" s="4" t="s">
        <v>709</v>
      </c>
      <c r="R631">
        <v>1139598</v>
      </c>
      <c r="AB631">
        <v>0</v>
      </c>
      <c r="AC631">
        <v>0</v>
      </c>
      <c r="AD631">
        <v>0</v>
      </c>
      <c r="AE631">
        <v>0</v>
      </c>
    </row>
    <row r="632" spans="7:31" x14ac:dyDescent="0.3">
      <c r="G632" s="4" t="s">
        <v>711</v>
      </c>
      <c r="H632">
        <v>3</v>
      </c>
      <c r="I632">
        <v>1</v>
      </c>
      <c r="N632" s="4" t="s">
        <v>711</v>
      </c>
      <c r="O632">
        <v>0</v>
      </c>
      <c r="Q632" s="4" t="s">
        <v>711</v>
      </c>
      <c r="R632">
        <v>4701120</v>
      </c>
      <c r="AB632">
        <v>0</v>
      </c>
      <c r="AC632">
        <v>0</v>
      </c>
      <c r="AD632">
        <v>0</v>
      </c>
      <c r="AE632">
        <v>0</v>
      </c>
    </row>
    <row r="633" spans="7:31" x14ac:dyDescent="0.3">
      <c r="G633" s="4" t="s">
        <v>712</v>
      </c>
      <c r="H633">
        <v>4</v>
      </c>
      <c r="I633">
        <v>2</v>
      </c>
      <c r="N633" s="4" t="s">
        <v>712</v>
      </c>
      <c r="O633">
        <v>0</v>
      </c>
      <c r="Q633" s="4" t="s">
        <v>712</v>
      </c>
      <c r="R633">
        <v>454653</v>
      </c>
      <c r="AB633">
        <v>0</v>
      </c>
      <c r="AC633">
        <v>0</v>
      </c>
      <c r="AD633">
        <v>0</v>
      </c>
      <c r="AE633">
        <v>0</v>
      </c>
    </row>
    <row r="634" spans="7:31" x14ac:dyDescent="0.3">
      <c r="G634" s="4" t="s">
        <v>713</v>
      </c>
      <c r="H634">
        <v>6</v>
      </c>
      <c r="I634">
        <v>4</v>
      </c>
      <c r="N634" s="4" t="s">
        <v>713</v>
      </c>
      <c r="O634">
        <v>177</v>
      </c>
      <c r="Q634" s="4" t="s">
        <v>713</v>
      </c>
      <c r="R634">
        <v>523561</v>
      </c>
      <c r="AB634">
        <v>0</v>
      </c>
      <c r="AC634">
        <v>0</v>
      </c>
      <c r="AD634">
        <v>0</v>
      </c>
      <c r="AE634">
        <v>0</v>
      </c>
    </row>
    <row r="635" spans="7:31" x14ac:dyDescent="0.3">
      <c r="G635" s="4" t="s">
        <v>715</v>
      </c>
      <c r="H635">
        <v>2</v>
      </c>
      <c r="I635">
        <v>2</v>
      </c>
      <c r="N635" s="4" t="s">
        <v>715</v>
      </c>
      <c r="O635">
        <v>38</v>
      </c>
      <c r="Q635" s="4" t="s">
        <v>715</v>
      </c>
      <c r="R635">
        <v>1198095</v>
      </c>
      <c r="AB635">
        <v>0</v>
      </c>
      <c r="AC635">
        <v>0</v>
      </c>
      <c r="AD635">
        <v>0</v>
      </c>
      <c r="AE635">
        <v>0</v>
      </c>
    </row>
    <row r="636" spans="7:31" x14ac:dyDescent="0.3">
      <c r="G636" s="4" t="s">
        <v>716</v>
      </c>
      <c r="H636">
        <v>1</v>
      </c>
      <c r="I636">
        <v>0</v>
      </c>
      <c r="N636" s="4" t="s">
        <v>716</v>
      </c>
      <c r="O636">
        <v>0</v>
      </c>
      <c r="Q636" s="4" t="s">
        <v>716</v>
      </c>
      <c r="R636">
        <v>4691185</v>
      </c>
      <c r="AB636">
        <v>0</v>
      </c>
      <c r="AC636">
        <v>0</v>
      </c>
      <c r="AD636">
        <v>0</v>
      </c>
      <c r="AE636">
        <v>0</v>
      </c>
    </row>
    <row r="637" spans="7:31" x14ac:dyDescent="0.3">
      <c r="G637" s="4" t="s">
        <v>717</v>
      </c>
      <c r="H637">
        <v>3</v>
      </c>
      <c r="I637">
        <v>1</v>
      </c>
      <c r="N637" s="4" t="s">
        <v>717</v>
      </c>
      <c r="O637">
        <v>0</v>
      </c>
      <c r="Q637" s="4" t="s">
        <v>717</v>
      </c>
      <c r="R637">
        <v>5000001</v>
      </c>
      <c r="AB637">
        <v>0</v>
      </c>
      <c r="AC637">
        <v>0</v>
      </c>
      <c r="AD637">
        <v>0</v>
      </c>
      <c r="AE637">
        <v>0</v>
      </c>
    </row>
    <row r="638" spans="7:31" x14ac:dyDescent="0.3">
      <c r="G638" s="4" t="s">
        <v>718</v>
      </c>
      <c r="H638">
        <v>3</v>
      </c>
      <c r="I638">
        <v>3</v>
      </c>
      <c r="N638" s="4" t="s">
        <v>718</v>
      </c>
      <c r="O638">
        <v>116</v>
      </c>
      <c r="Q638" s="4" t="s">
        <v>718</v>
      </c>
      <c r="R638">
        <v>858230</v>
      </c>
      <c r="AB638">
        <v>0</v>
      </c>
      <c r="AC638">
        <v>0</v>
      </c>
      <c r="AD638">
        <v>0</v>
      </c>
      <c r="AE638">
        <v>0</v>
      </c>
    </row>
    <row r="639" spans="7:31" x14ac:dyDescent="0.3">
      <c r="G639" s="4" t="s">
        <v>719</v>
      </c>
      <c r="H639">
        <v>1</v>
      </c>
      <c r="I639">
        <v>0</v>
      </c>
      <c r="N639" s="4" t="s">
        <v>719</v>
      </c>
      <c r="O639">
        <v>0</v>
      </c>
      <c r="Q639" s="4" t="s">
        <v>719</v>
      </c>
      <c r="R639">
        <v>5000001</v>
      </c>
      <c r="AB639">
        <v>0</v>
      </c>
      <c r="AC639">
        <v>0</v>
      </c>
      <c r="AD639">
        <v>0</v>
      </c>
      <c r="AE639">
        <v>0</v>
      </c>
    </row>
    <row r="640" spans="7:31" x14ac:dyDescent="0.3">
      <c r="G640" s="4" t="s">
        <v>720</v>
      </c>
      <c r="H640">
        <v>0</v>
      </c>
      <c r="I640">
        <v>0</v>
      </c>
      <c r="N640" s="4" t="s">
        <v>720</v>
      </c>
      <c r="O640">
        <v>0</v>
      </c>
      <c r="Q640" s="4" t="s">
        <v>720</v>
      </c>
      <c r="R640">
        <v>5000001</v>
      </c>
      <c r="AB640">
        <v>0</v>
      </c>
      <c r="AC640">
        <v>0</v>
      </c>
      <c r="AD640">
        <v>0</v>
      </c>
      <c r="AE640">
        <v>0</v>
      </c>
    </row>
    <row r="641" spans="7:31" x14ac:dyDescent="0.3">
      <c r="G641" s="4" t="s">
        <v>721</v>
      </c>
      <c r="H641">
        <v>0</v>
      </c>
      <c r="I641">
        <v>0</v>
      </c>
      <c r="N641" s="4" t="s">
        <v>721</v>
      </c>
      <c r="O641">
        <v>0</v>
      </c>
      <c r="Q641" s="4" t="s">
        <v>721</v>
      </c>
      <c r="R641">
        <v>5000001</v>
      </c>
      <c r="AB641">
        <v>0</v>
      </c>
      <c r="AC641">
        <v>0</v>
      </c>
      <c r="AD641">
        <v>0</v>
      </c>
      <c r="AE641">
        <v>0</v>
      </c>
    </row>
    <row r="642" spans="7:31" x14ac:dyDescent="0.3">
      <c r="G642" s="4" t="s">
        <v>722</v>
      </c>
      <c r="H642">
        <v>0</v>
      </c>
      <c r="I642">
        <v>0</v>
      </c>
      <c r="N642" s="4" t="s">
        <v>722</v>
      </c>
      <c r="O642">
        <v>0</v>
      </c>
      <c r="Q642" s="4" t="s">
        <v>722</v>
      </c>
      <c r="R642">
        <v>5000001</v>
      </c>
      <c r="AB642">
        <v>0</v>
      </c>
      <c r="AC642">
        <v>0</v>
      </c>
      <c r="AD642">
        <v>0</v>
      </c>
      <c r="AE642">
        <v>0</v>
      </c>
    </row>
    <row r="643" spans="7:31" x14ac:dyDescent="0.3">
      <c r="G643" s="4" t="s">
        <v>723</v>
      </c>
      <c r="H643">
        <v>1</v>
      </c>
      <c r="I643">
        <v>0</v>
      </c>
      <c r="N643" s="4" t="s">
        <v>723</v>
      </c>
      <c r="O643">
        <v>0</v>
      </c>
      <c r="Q643" s="4" t="s">
        <v>723</v>
      </c>
      <c r="R643">
        <v>5000001</v>
      </c>
      <c r="AB643">
        <v>0</v>
      </c>
      <c r="AC643">
        <v>0</v>
      </c>
      <c r="AD643">
        <v>0</v>
      </c>
      <c r="AE643">
        <v>0</v>
      </c>
    </row>
    <row r="644" spans="7:31" x14ac:dyDescent="0.3">
      <c r="G644" s="4" t="s">
        <v>724</v>
      </c>
      <c r="H644">
        <v>0</v>
      </c>
      <c r="I644">
        <v>0</v>
      </c>
      <c r="N644" s="4" t="s">
        <v>724</v>
      </c>
      <c r="O644">
        <v>0</v>
      </c>
      <c r="Q644" s="4" t="s">
        <v>724</v>
      </c>
      <c r="R644">
        <v>5000001</v>
      </c>
      <c r="AB644">
        <v>0</v>
      </c>
      <c r="AC644">
        <v>0</v>
      </c>
      <c r="AD644">
        <v>0</v>
      </c>
      <c r="AE644">
        <v>0</v>
      </c>
    </row>
    <row r="645" spans="7:31" x14ac:dyDescent="0.3">
      <c r="G645" s="4" t="s">
        <v>725</v>
      </c>
      <c r="H645">
        <v>0</v>
      </c>
      <c r="I645">
        <v>0</v>
      </c>
      <c r="N645" s="4" t="s">
        <v>725</v>
      </c>
      <c r="O645">
        <v>0</v>
      </c>
      <c r="Q645" s="4" t="s">
        <v>725</v>
      </c>
      <c r="R645">
        <v>5000001</v>
      </c>
      <c r="AB645">
        <v>0</v>
      </c>
      <c r="AC645">
        <v>0</v>
      </c>
      <c r="AD645">
        <v>0</v>
      </c>
      <c r="AE645">
        <v>0</v>
      </c>
    </row>
    <row r="646" spans="7:31" x14ac:dyDescent="0.3">
      <c r="G646" s="4" t="s">
        <v>726</v>
      </c>
      <c r="H646">
        <v>1</v>
      </c>
      <c r="I646">
        <v>0</v>
      </c>
      <c r="N646" s="4" t="s">
        <v>726</v>
      </c>
      <c r="O646">
        <v>0</v>
      </c>
      <c r="Q646" s="4" t="s">
        <v>726</v>
      </c>
      <c r="R646">
        <v>5000001</v>
      </c>
      <c r="AB646">
        <v>0</v>
      </c>
      <c r="AC646">
        <v>0</v>
      </c>
      <c r="AD646">
        <v>0</v>
      </c>
      <c r="AE646">
        <v>0</v>
      </c>
    </row>
    <row r="647" spans="7:31" x14ac:dyDescent="0.3">
      <c r="G647" s="4" t="s">
        <v>727</v>
      </c>
      <c r="H647">
        <v>0</v>
      </c>
      <c r="I647">
        <v>0</v>
      </c>
      <c r="N647" s="4" t="s">
        <v>727</v>
      </c>
      <c r="O647">
        <v>0</v>
      </c>
      <c r="Q647" s="4" t="s">
        <v>727</v>
      </c>
      <c r="R647">
        <v>5000001</v>
      </c>
      <c r="AB647">
        <v>0</v>
      </c>
      <c r="AC647">
        <v>0</v>
      </c>
      <c r="AD647">
        <v>0</v>
      </c>
      <c r="AE647">
        <v>0</v>
      </c>
    </row>
    <row r="648" spans="7:31" x14ac:dyDescent="0.3">
      <c r="G648" s="4" t="s">
        <v>728</v>
      </c>
      <c r="H648">
        <v>1</v>
      </c>
      <c r="I648">
        <v>0</v>
      </c>
      <c r="N648" s="4" t="s">
        <v>728</v>
      </c>
      <c r="O648">
        <v>0</v>
      </c>
      <c r="Q648" s="4" t="s">
        <v>728</v>
      </c>
      <c r="R648">
        <v>5000001</v>
      </c>
      <c r="AB648">
        <v>0</v>
      </c>
      <c r="AC648">
        <v>0</v>
      </c>
      <c r="AD648">
        <v>0</v>
      </c>
      <c r="AE648">
        <v>0</v>
      </c>
    </row>
    <row r="649" spans="7:31" x14ac:dyDescent="0.3">
      <c r="G649" s="4" t="s">
        <v>729</v>
      </c>
      <c r="H649">
        <v>1</v>
      </c>
      <c r="I649">
        <v>0</v>
      </c>
      <c r="N649" s="4" t="s">
        <v>729</v>
      </c>
      <c r="O649">
        <v>0</v>
      </c>
      <c r="Q649" s="4" t="s">
        <v>729</v>
      </c>
      <c r="R649">
        <v>4029785</v>
      </c>
      <c r="AB649">
        <v>0</v>
      </c>
      <c r="AC649">
        <v>0</v>
      </c>
      <c r="AD649">
        <v>0</v>
      </c>
      <c r="AE649">
        <v>0</v>
      </c>
    </row>
    <row r="650" spans="7:31" x14ac:dyDescent="0.3">
      <c r="G650" s="4" t="s">
        <v>730</v>
      </c>
      <c r="H650">
        <v>0</v>
      </c>
      <c r="I650">
        <v>0</v>
      </c>
      <c r="N650" s="4" t="s">
        <v>730</v>
      </c>
      <c r="O650">
        <v>0</v>
      </c>
      <c r="Q650" s="4" t="s">
        <v>730</v>
      </c>
      <c r="R650">
        <v>5000001</v>
      </c>
      <c r="AB650">
        <v>0</v>
      </c>
      <c r="AC650">
        <v>0</v>
      </c>
      <c r="AD650">
        <v>0</v>
      </c>
      <c r="AE650">
        <v>0</v>
      </c>
    </row>
    <row r="651" spans="7:31" x14ac:dyDescent="0.3">
      <c r="G651" s="4" t="s">
        <v>731</v>
      </c>
      <c r="H651">
        <v>1</v>
      </c>
      <c r="I651">
        <v>0</v>
      </c>
      <c r="N651" s="4" t="s">
        <v>731</v>
      </c>
      <c r="O651">
        <v>1</v>
      </c>
      <c r="Q651" s="4" t="s">
        <v>731</v>
      </c>
      <c r="R651">
        <v>3776132</v>
      </c>
      <c r="AB651">
        <v>0</v>
      </c>
      <c r="AC651">
        <v>0</v>
      </c>
      <c r="AD651">
        <v>0</v>
      </c>
      <c r="AE651">
        <v>0</v>
      </c>
    </row>
    <row r="652" spans="7:31" x14ac:dyDescent="0.3">
      <c r="G652" s="4" t="s">
        <v>732</v>
      </c>
      <c r="H652">
        <v>0</v>
      </c>
      <c r="I652">
        <v>0</v>
      </c>
      <c r="N652" s="4" t="s">
        <v>732</v>
      </c>
      <c r="O652">
        <v>0</v>
      </c>
      <c r="Q652" s="4" t="s">
        <v>732</v>
      </c>
      <c r="R652">
        <v>5000001</v>
      </c>
      <c r="AB652">
        <v>0</v>
      </c>
      <c r="AC652">
        <v>0</v>
      </c>
      <c r="AD652">
        <v>0</v>
      </c>
      <c r="AE652">
        <v>0</v>
      </c>
    </row>
    <row r="653" spans="7:31" x14ac:dyDescent="0.3">
      <c r="G653" s="4" t="s">
        <v>733</v>
      </c>
      <c r="H653">
        <v>0</v>
      </c>
      <c r="I653">
        <v>0</v>
      </c>
      <c r="N653" s="4" t="s">
        <v>733</v>
      </c>
      <c r="O653">
        <v>0</v>
      </c>
      <c r="Q653" s="4" t="s">
        <v>733</v>
      </c>
      <c r="R653">
        <v>5000001</v>
      </c>
      <c r="AB653">
        <v>0</v>
      </c>
      <c r="AC653">
        <v>0</v>
      </c>
      <c r="AD653">
        <v>0</v>
      </c>
      <c r="AE653">
        <v>0</v>
      </c>
    </row>
    <row r="654" spans="7:31" x14ac:dyDescent="0.3">
      <c r="G654" s="4" t="s">
        <v>734</v>
      </c>
      <c r="H654">
        <v>2</v>
      </c>
      <c r="I654">
        <v>0</v>
      </c>
      <c r="N654" s="4" t="s">
        <v>734</v>
      </c>
      <c r="O654">
        <v>5</v>
      </c>
      <c r="Q654" s="4" t="s">
        <v>734</v>
      </c>
      <c r="R654">
        <v>5000001</v>
      </c>
      <c r="AB654">
        <v>0</v>
      </c>
      <c r="AC654">
        <v>0</v>
      </c>
      <c r="AD654">
        <v>0</v>
      </c>
      <c r="AE654">
        <v>0</v>
      </c>
    </row>
    <row r="655" spans="7:31" x14ac:dyDescent="0.3">
      <c r="G655" s="4" t="s">
        <v>735</v>
      </c>
      <c r="H655">
        <v>0</v>
      </c>
      <c r="I655">
        <v>1</v>
      </c>
      <c r="N655" s="4" t="s">
        <v>735</v>
      </c>
      <c r="O655">
        <v>2</v>
      </c>
      <c r="Q655" s="4" t="s">
        <v>735</v>
      </c>
      <c r="R655">
        <v>5000001</v>
      </c>
      <c r="AB655">
        <v>0</v>
      </c>
      <c r="AC655">
        <v>0</v>
      </c>
      <c r="AD655">
        <v>0</v>
      </c>
      <c r="AE655">
        <v>0</v>
      </c>
    </row>
    <row r="656" spans="7:31" x14ac:dyDescent="0.3">
      <c r="G656" s="4" t="s">
        <v>736</v>
      </c>
      <c r="H656">
        <v>1</v>
      </c>
      <c r="I656">
        <v>0</v>
      </c>
      <c r="N656" s="4" t="s">
        <v>736</v>
      </c>
      <c r="O656">
        <v>0</v>
      </c>
      <c r="Q656" s="4" t="s">
        <v>736</v>
      </c>
      <c r="R656">
        <v>5000001</v>
      </c>
      <c r="AB656">
        <v>0</v>
      </c>
      <c r="AC656">
        <v>0</v>
      </c>
      <c r="AD656">
        <v>0</v>
      </c>
      <c r="AE656">
        <v>0</v>
      </c>
    </row>
    <row r="657" spans="7:31" x14ac:dyDescent="0.3">
      <c r="G657" s="4" t="s">
        <v>737</v>
      </c>
      <c r="H657">
        <v>1</v>
      </c>
      <c r="I657">
        <v>0</v>
      </c>
      <c r="N657" s="4" t="s">
        <v>737</v>
      </c>
      <c r="O657">
        <v>0</v>
      </c>
      <c r="Q657" s="4" t="s">
        <v>737</v>
      </c>
      <c r="R657">
        <v>5000001</v>
      </c>
      <c r="AB657">
        <v>0</v>
      </c>
      <c r="AC657">
        <v>0</v>
      </c>
      <c r="AD657">
        <v>0</v>
      </c>
      <c r="AE657">
        <v>0</v>
      </c>
    </row>
    <row r="658" spans="7:31" x14ac:dyDescent="0.3">
      <c r="G658" s="4" t="s">
        <v>738</v>
      </c>
      <c r="H658">
        <v>1</v>
      </c>
      <c r="I658">
        <v>0</v>
      </c>
      <c r="N658" s="4" t="s">
        <v>738</v>
      </c>
      <c r="O658">
        <v>0</v>
      </c>
      <c r="Q658" s="4" t="s">
        <v>738</v>
      </c>
      <c r="R658">
        <v>3909665</v>
      </c>
      <c r="AB658">
        <v>0</v>
      </c>
      <c r="AC658">
        <v>0</v>
      </c>
      <c r="AD658">
        <v>0</v>
      </c>
      <c r="AE658">
        <v>0</v>
      </c>
    </row>
    <row r="659" spans="7:31" x14ac:dyDescent="0.3">
      <c r="G659" s="4" t="s">
        <v>739</v>
      </c>
      <c r="H659">
        <v>1</v>
      </c>
      <c r="I659">
        <v>1</v>
      </c>
      <c r="N659" s="4" t="s">
        <v>739</v>
      </c>
      <c r="O659">
        <v>0</v>
      </c>
      <c r="Q659" s="4" t="s">
        <v>739</v>
      </c>
      <c r="R659">
        <v>2589137</v>
      </c>
      <c r="AB659">
        <v>0</v>
      </c>
      <c r="AC659">
        <v>0</v>
      </c>
      <c r="AD659">
        <v>0</v>
      </c>
      <c r="AE659">
        <v>0</v>
      </c>
    </row>
    <row r="660" spans="7:31" x14ac:dyDescent="0.3">
      <c r="G660" s="4" t="s">
        <v>740</v>
      </c>
      <c r="H660">
        <v>0</v>
      </c>
      <c r="I660">
        <v>0</v>
      </c>
      <c r="N660" s="4" t="s">
        <v>740</v>
      </c>
      <c r="O660">
        <v>0</v>
      </c>
      <c r="Q660" s="4" t="s">
        <v>740</v>
      </c>
      <c r="R660">
        <v>5000001</v>
      </c>
      <c r="AB660">
        <v>0</v>
      </c>
      <c r="AC660">
        <v>0</v>
      </c>
      <c r="AD660">
        <v>0</v>
      </c>
      <c r="AE660">
        <v>0</v>
      </c>
    </row>
    <row r="661" spans="7:31" x14ac:dyDescent="0.3">
      <c r="G661" s="4" t="s">
        <v>741</v>
      </c>
      <c r="H661">
        <v>0</v>
      </c>
      <c r="I661">
        <v>0</v>
      </c>
      <c r="N661" s="4" t="s">
        <v>741</v>
      </c>
      <c r="O661">
        <v>0</v>
      </c>
      <c r="Q661" s="4" t="s">
        <v>741</v>
      </c>
      <c r="R661">
        <v>5000001</v>
      </c>
      <c r="AB661">
        <v>0</v>
      </c>
      <c r="AC661">
        <v>0</v>
      </c>
      <c r="AD661">
        <v>0</v>
      </c>
      <c r="AE661">
        <v>0</v>
      </c>
    </row>
    <row r="662" spans="7:31" x14ac:dyDescent="0.3">
      <c r="G662" s="4" t="s">
        <v>742</v>
      </c>
      <c r="H662">
        <v>3</v>
      </c>
      <c r="I662">
        <v>4</v>
      </c>
      <c r="N662" s="4" t="s">
        <v>742</v>
      </c>
      <c r="O662">
        <v>6</v>
      </c>
      <c r="Q662" s="4" t="s">
        <v>742</v>
      </c>
      <c r="R662">
        <v>2728003</v>
      </c>
      <c r="AB662">
        <v>0</v>
      </c>
      <c r="AC662">
        <v>0</v>
      </c>
      <c r="AD662">
        <v>0</v>
      </c>
      <c r="AE662">
        <v>0</v>
      </c>
    </row>
    <row r="663" spans="7:31" x14ac:dyDescent="0.3">
      <c r="G663" s="4" t="s">
        <v>744</v>
      </c>
      <c r="H663">
        <v>0</v>
      </c>
      <c r="I663">
        <v>0</v>
      </c>
      <c r="N663" s="4" t="s">
        <v>744</v>
      </c>
      <c r="O663">
        <v>0</v>
      </c>
      <c r="Q663" s="4" t="s">
        <v>744</v>
      </c>
      <c r="R663">
        <v>5000001</v>
      </c>
      <c r="AB663">
        <v>0</v>
      </c>
      <c r="AC663">
        <v>0</v>
      </c>
      <c r="AD663">
        <v>0</v>
      </c>
      <c r="AE663">
        <v>0</v>
      </c>
    </row>
    <row r="664" spans="7:31" x14ac:dyDescent="0.3">
      <c r="G664" s="4" t="s">
        <v>745</v>
      </c>
      <c r="H664">
        <v>2</v>
      </c>
      <c r="I664">
        <v>0</v>
      </c>
      <c r="N664" s="4" t="s">
        <v>745</v>
      </c>
      <c r="O664">
        <v>9</v>
      </c>
      <c r="Q664" s="4" t="s">
        <v>745</v>
      </c>
      <c r="R664">
        <v>4867821</v>
      </c>
      <c r="AB664">
        <v>0</v>
      </c>
      <c r="AC664">
        <v>0</v>
      </c>
      <c r="AD664">
        <v>0</v>
      </c>
      <c r="AE664">
        <v>0</v>
      </c>
    </row>
    <row r="665" spans="7:31" x14ac:dyDescent="0.3">
      <c r="G665" s="4" t="s">
        <v>746</v>
      </c>
      <c r="H665">
        <v>1</v>
      </c>
      <c r="I665">
        <v>0</v>
      </c>
      <c r="N665" s="4" t="s">
        <v>746</v>
      </c>
      <c r="O665">
        <v>0</v>
      </c>
      <c r="Q665" s="4" t="s">
        <v>746</v>
      </c>
      <c r="R665">
        <v>5000001</v>
      </c>
      <c r="AB665">
        <v>0</v>
      </c>
      <c r="AC665">
        <v>0</v>
      </c>
      <c r="AD665">
        <v>0</v>
      </c>
      <c r="AE665">
        <v>0</v>
      </c>
    </row>
    <row r="666" spans="7:31" x14ac:dyDescent="0.3">
      <c r="G666" s="4" t="s">
        <v>747</v>
      </c>
      <c r="H666">
        <v>1</v>
      </c>
      <c r="I666">
        <v>0</v>
      </c>
      <c r="N666" s="4" t="s">
        <v>747</v>
      </c>
      <c r="O666">
        <v>0</v>
      </c>
      <c r="Q666" s="4" t="s">
        <v>747</v>
      </c>
      <c r="R666">
        <v>5000001</v>
      </c>
      <c r="AB666">
        <v>0</v>
      </c>
      <c r="AC666">
        <v>0</v>
      </c>
      <c r="AD666">
        <v>0</v>
      </c>
      <c r="AE666">
        <v>0</v>
      </c>
    </row>
    <row r="667" spans="7:31" x14ac:dyDescent="0.3">
      <c r="G667" s="4" t="s">
        <v>748</v>
      </c>
      <c r="H667">
        <v>0</v>
      </c>
      <c r="I667">
        <v>0</v>
      </c>
      <c r="N667" s="4" t="s">
        <v>748</v>
      </c>
      <c r="O667">
        <v>0</v>
      </c>
      <c r="Q667" s="4" t="s">
        <v>748</v>
      </c>
      <c r="R667">
        <v>4178493</v>
      </c>
      <c r="AB667">
        <v>0</v>
      </c>
      <c r="AC667">
        <v>0</v>
      </c>
      <c r="AD667">
        <v>0</v>
      </c>
      <c r="AE667">
        <v>0</v>
      </c>
    </row>
    <row r="668" spans="7:31" x14ac:dyDescent="0.3">
      <c r="G668" s="4" t="s">
        <v>749</v>
      </c>
      <c r="H668">
        <v>1</v>
      </c>
      <c r="I668">
        <v>1</v>
      </c>
      <c r="N668" s="4" t="s">
        <v>749</v>
      </c>
      <c r="O668">
        <v>0</v>
      </c>
      <c r="Q668" s="4" t="s">
        <v>749</v>
      </c>
      <c r="R668">
        <v>5000001</v>
      </c>
      <c r="AB668">
        <v>0</v>
      </c>
      <c r="AC668">
        <v>0</v>
      </c>
      <c r="AD668">
        <v>0</v>
      </c>
      <c r="AE668">
        <v>0</v>
      </c>
    </row>
    <row r="669" spans="7:31" x14ac:dyDescent="0.3">
      <c r="G669" s="4" t="s">
        <v>750</v>
      </c>
      <c r="H669">
        <v>2</v>
      </c>
      <c r="I669">
        <v>4</v>
      </c>
      <c r="N669" s="4" t="s">
        <v>750</v>
      </c>
      <c r="O669">
        <v>0</v>
      </c>
      <c r="Q669" s="4" t="s">
        <v>750</v>
      </c>
      <c r="R669">
        <v>2954078</v>
      </c>
      <c r="AB669">
        <v>0</v>
      </c>
      <c r="AC669">
        <v>0</v>
      </c>
      <c r="AD669">
        <v>0</v>
      </c>
      <c r="AE669">
        <v>0</v>
      </c>
    </row>
    <row r="670" spans="7:31" x14ac:dyDescent="0.3">
      <c r="G670" s="4" t="s">
        <v>752</v>
      </c>
      <c r="H670">
        <v>1</v>
      </c>
      <c r="I670">
        <v>0</v>
      </c>
      <c r="N670" s="4" t="s">
        <v>752</v>
      </c>
      <c r="O670">
        <v>0</v>
      </c>
      <c r="Q670" s="4" t="s">
        <v>752</v>
      </c>
      <c r="R670">
        <v>5000001</v>
      </c>
      <c r="AB670">
        <v>0</v>
      </c>
      <c r="AC670">
        <v>0</v>
      </c>
      <c r="AD670">
        <v>0</v>
      </c>
      <c r="AE670">
        <v>0</v>
      </c>
    </row>
    <row r="671" spans="7:31" x14ac:dyDescent="0.3">
      <c r="G671" s="4" t="s">
        <v>753</v>
      </c>
      <c r="H671">
        <v>1</v>
      </c>
      <c r="I671">
        <v>0</v>
      </c>
      <c r="N671" s="4" t="s">
        <v>753</v>
      </c>
      <c r="O671">
        <v>0</v>
      </c>
      <c r="Q671" s="4" t="s">
        <v>753</v>
      </c>
      <c r="R671">
        <v>0</v>
      </c>
      <c r="AB671">
        <v>0</v>
      </c>
      <c r="AC671">
        <v>0</v>
      </c>
      <c r="AD671">
        <v>0</v>
      </c>
      <c r="AE671">
        <v>0</v>
      </c>
    </row>
    <row r="672" spans="7:31" x14ac:dyDescent="0.3">
      <c r="G672" s="4" t="s">
        <v>754</v>
      </c>
      <c r="H672">
        <v>0</v>
      </c>
      <c r="I672">
        <v>0</v>
      </c>
      <c r="N672" s="4" t="s">
        <v>754</v>
      </c>
      <c r="O672">
        <v>0</v>
      </c>
      <c r="Q672" s="4" t="s">
        <v>754</v>
      </c>
      <c r="R672">
        <v>5000001</v>
      </c>
      <c r="AB672">
        <v>0</v>
      </c>
      <c r="AC672">
        <v>0</v>
      </c>
      <c r="AD672">
        <v>0</v>
      </c>
      <c r="AE672">
        <v>0</v>
      </c>
    </row>
    <row r="673" spans="7:31" x14ac:dyDescent="0.3">
      <c r="G673" s="4" t="s">
        <v>755</v>
      </c>
      <c r="H673">
        <v>0</v>
      </c>
      <c r="I673">
        <v>0</v>
      </c>
      <c r="N673" s="4" t="s">
        <v>755</v>
      </c>
      <c r="O673">
        <v>0</v>
      </c>
      <c r="Q673" s="4" t="s">
        <v>755</v>
      </c>
      <c r="R673">
        <v>5000001</v>
      </c>
      <c r="AB673">
        <v>0</v>
      </c>
      <c r="AC673">
        <v>0</v>
      </c>
      <c r="AD673">
        <v>0</v>
      </c>
      <c r="AE673">
        <v>0</v>
      </c>
    </row>
    <row r="674" spans="7:31" x14ac:dyDescent="0.3">
      <c r="G674" s="4" t="s">
        <v>756</v>
      </c>
      <c r="H674">
        <v>3</v>
      </c>
      <c r="I674">
        <v>1</v>
      </c>
      <c r="N674" s="4" t="s">
        <v>756</v>
      </c>
      <c r="O674">
        <v>0</v>
      </c>
      <c r="Q674" s="4" t="s">
        <v>756</v>
      </c>
      <c r="R674">
        <v>5000001</v>
      </c>
      <c r="AB674">
        <v>0</v>
      </c>
      <c r="AC674">
        <v>0</v>
      </c>
      <c r="AD674">
        <v>0</v>
      </c>
      <c r="AE674">
        <v>0</v>
      </c>
    </row>
    <row r="675" spans="7:31" x14ac:dyDescent="0.3">
      <c r="G675" s="4" t="s">
        <v>757</v>
      </c>
      <c r="H675">
        <v>0</v>
      </c>
      <c r="I675">
        <v>0</v>
      </c>
      <c r="N675" s="4" t="s">
        <v>757</v>
      </c>
      <c r="O675">
        <v>0</v>
      </c>
      <c r="Q675" s="4" t="s">
        <v>757</v>
      </c>
      <c r="R675">
        <v>5000001</v>
      </c>
      <c r="AB675">
        <v>0</v>
      </c>
      <c r="AC675">
        <v>0</v>
      </c>
      <c r="AD675">
        <v>0</v>
      </c>
      <c r="AE675">
        <v>0</v>
      </c>
    </row>
    <row r="676" spans="7:31" x14ac:dyDescent="0.3">
      <c r="G676" s="4" t="s">
        <v>773</v>
      </c>
      <c r="H676">
        <v>1720</v>
      </c>
      <c r="I676">
        <v>682</v>
      </c>
      <c r="AB676">
        <v>0</v>
      </c>
      <c r="AC676">
        <v>0</v>
      </c>
      <c r="AD676">
        <v>0</v>
      </c>
      <c r="AE676">
        <v>0</v>
      </c>
    </row>
    <row r="677" spans="7:31" x14ac:dyDescent="0.3">
      <c r="AB677">
        <v>0</v>
      </c>
      <c r="AC677">
        <v>0</v>
      </c>
      <c r="AD677">
        <v>0</v>
      </c>
      <c r="AE677">
        <v>0</v>
      </c>
    </row>
  </sheetData>
  <pageMargins left="0.7" right="0.7" top="0.75" bottom="0.75" header="0.3" footer="0.3"/>
  <drawing r:id="rId15"/>
  <legacyDrawing r:id="rId16"/>
  <controls>
    <mc:AlternateContent xmlns:mc="http://schemas.openxmlformats.org/markup-compatibility/2006">
      <mc:Choice Requires="x14">
        <control shapeId="2049" r:id="rId17" name="ComboBox1">
          <controlPr defaultSize="0" autoLine="0" r:id="rId18">
            <anchor moveWithCells="1">
              <from>
                <xdr:col>11</xdr:col>
                <xdr:colOff>0</xdr:colOff>
                <xdr:row>191</xdr:row>
                <xdr:rowOff>38100</xdr:rowOff>
              </from>
              <to>
                <xdr:col>11</xdr:col>
                <xdr:colOff>906780</xdr:colOff>
                <xdr:row>192</xdr:row>
                <xdr:rowOff>83820</xdr:rowOff>
              </to>
            </anchor>
          </controlPr>
        </control>
      </mc:Choice>
      <mc:Fallback>
        <control shapeId="2049" r:id="rId17" name="ComboBox1"/>
      </mc:Fallback>
    </mc:AlternateContent>
    <mc:AlternateContent xmlns:mc="http://schemas.openxmlformats.org/markup-compatibility/2006">
      <mc:Choice Requires="x14">
        <control shapeId="2050" r:id="rId19" name="ComboBox2">
          <controlPr defaultSize="0" autoLine="0" autoPict="0" linkedCell="X11" listFillRange="B4:B675" r:id="rId20">
            <anchor moveWithCells="1">
              <from>
                <xdr:col>23</xdr:col>
                <xdr:colOff>68580</xdr:colOff>
                <xdr:row>5</xdr:row>
                <xdr:rowOff>106680</xdr:rowOff>
              </from>
              <to>
                <xdr:col>24</xdr:col>
                <xdr:colOff>7620</xdr:colOff>
                <xdr:row>7</xdr:row>
                <xdr:rowOff>15240</xdr:rowOff>
              </to>
            </anchor>
          </controlPr>
        </control>
      </mc:Choice>
      <mc:Fallback>
        <control shapeId="2050" r:id="rId19" name="ComboBox2"/>
      </mc:Fallback>
    </mc:AlternateContent>
    <mc:AlternateContent xmlns:mc="http://schemas.openxmlformats.org/markup-compatibility/2006">
      <mc:Choice Requires="x14">
        <control shapeId="2051" r:id="rId21" name="ComboBox3">
          <controlPr defaultSize="0" autoLine="0" listFillRange="B4:B675" r:id="rId22">
            <anchor moveWithCells="1">
              <from>
                <xdr:col>5</xdr:col>
                <xdr:colOff>15240</xdr:colOff>
                <xdr:row>9</xdr:row>
                <xdr:rowOff>15240</xdr:rowOff>
              </from>
              <to>
                <xdr:col>6</xdr:col>
                <xdr:colOff>312420</xdr:colOff>
                <xdr:row>10</xdr:row>
                <xdr:rowOff>60960</xdr:rowOff>
              </to>
            </anchor>
          </controlPr>
        </control>
      </mc:Choice>
      <mc:Fallback>
        <control shapeId="2051" r:id="rId21" name="ComboBox3"/>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9756-4565-4006-8B75-FF2C98B4FD1D}">
  <sheetPr codeName="Sheet21"/>
  <dimension ref="X5:AD11"/>
  <sheetViews>
    <sheetView showGridLines="0" showRowColHeaders="0" tabSelected="1" zoomScaleNormal="100" workbookViewId="0">
      <selection activeCell="J37" sqref="J37"/>
    </sheetView>
  </sheetViews>
  <sheetFormatPr defaultColWidth="8.88671875" defaultRowHeight="14.4" x14ac:dyDescent="0.3"/>
  <cols>
    <col min="1" max="16384" width="8.88671875" style="5"/>
  </cols>
  <sheetData>
    <row r="5" spans="24:30" x14ac:dyDescent="0.3">
      <c r="AD5" s="7"/>
    </row>
    <row r="11" spans="24:30" x14ac:dyDescent="0.3">
      <c r="X11" s="5" t="s">
        <v>786</v>
      </c>
    </row>
  </sheetData>
  <pageMargins left="0.7" right="0.7" top="0.75" bottom="0.75" header="0.3" footer="0.3"/>
  <pageSetup orientation="portrait" r:id="rId1"/>
  <drawing r:id="rId2"/>
  <legacyDrawing r:id="rId3"/>
  <controls>
    <mc:AlternateContent xmlns:mc="http://schemas.openxmlformats.org/markup-compatibility/2006">
      <mc:Choice Requires="x14">
        <control shapeId="3075" r:id="rId4" name="ComboBox2">
          <controlPr defaultSize="0" autoLine="0" linkedCell="Dashboard!F38" listFillRange="StudentData!A2:A673" r:id="rId5">
            <anchor moveWithCells="1">
              <from>
                <xdr:col>0</xdr:col>
                <xdr:colOff>236220</xdr:colOff>
                <xdr:row>36</xdr:row>
                <xdr:rowOff>160020</xdr:rowOff>
              </from>
              <to>
                <xdr:col>4</xdr:col>
                <xdr:colOff>0</xdr:colOff>
                <xdr:row>38</xdr:row>
                <xdr:rowOff>175260</xdr:rowOff>
              </to>
            </anchor>
          </controlPr>
        </control>
      </mc:Choice>
      <mc:Fallback>
        <control shapeId="3075" r:id="rId4" name="ComboBox2"/>
      </mc:Fallback>
    </mc:AlternateContent>
  </controls>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CE5306F1BD054EBEE3A7A81C5AE6AB" ma:contentTypeVersion="3" ma:contentTypeDescription="Create a new document." ma:contentTypeScope="" ma:versionID="2fc7a06ada305c9d02c81526b41c491d">
  <xsd:schema xmlns:xsd="http://www.w3.org/2001/XMLSchema" xmlns:xs="http://www.w3.org/2001/XMLSchema" xmlns:p="http://schemas.microsoft.com/office/2006/metadata/properties" xmlns:ns2="e9377452-eec8-4f1b-a294-6abc1d5a328e" targetNamespace="http://schemas.microsoft.com/office/2006/metadata/properties" ma:root="true" ma:fieldsID="743f6caddba16e311cf16fc20a644a16" ns2:_="">
    <xsd:import namespace="e9377452-eec8-4f1b-a294-6abc1d5a328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77452-eec8-4f1b-a294-6abc1d5a32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F8A226-F043-44CB-8A5A-A5A8EDEE3C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377452-eec8-4f1b-a294-6abc1d5a32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CC008C-3677-4B7B-8F14-FA76C6A978A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8E0E7C3-E026-4A4A-BDA8-06CEE842A4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StudentData</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Gangababu Pokanati</dc:creator>
  <cp:keywords/>
  <dc:description/>
  <cp:lastModifiedBy>23MH1A4462</cp:lastModifiedBy>
  <cp:revision/>
  <dcterms:created xsi:type="dcterms:W3CDTF">2025-07-23T07:57:27Z</dcterms:created>
  <dcterms:modified xsi:type="dcterms:W3CDTF">2026-07-14T17:59:30Z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0x010100ADCE5306F1BD054EBEE3A7A81C5AE6AB</vt:lpwstr>
  </property>
</Properties>
</file>